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Manuscript\Meta\Loess-N2O\GeoscienceLetters\"/>
    </mc:Choice>
  </mc:AlternateContent>
  <xr:revisionPtr revIDLastSave="0" documentId="13_ncr:1_{A53B63FE-D92A-42E3-AF15-053864CD4E59}" xr6:coauthVersionLast="47" xr6:coauthVersionMax="47" xr10:uidLastSave="{00000000-0000-0000-0000-000000000000}"/>
  <bookViews>
    <workbookView xWindow="-108" yWindow="-108" windowWidth="30936" windowHeight="16776" xr2:uid="{074DEEF1-4780-4912-9869-CAD9F8D025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64" i="1" l="1"/>
  <c r="F358" i="1"/>
  <c r="F352" i="1"/>
  <c r="P351" i="1"/>
  <c r="P350" i="1"/>
  <c r="P349" i="1"/>
  <c r="P333" i="1"/>
  <c r="P329" i="1"/>
  <c r="P325" i="1"/>
  <c r="P310" i="1"/>
  <c r="P308" i="1"/>
  <c r="P306" i="1"/>
  <c r="P304" i="1"/>
  <c r="P277" i="1"/>
  <c r="P276" i="1"/>
  <c r="P275" i="1"/>
  <c r="T274" i="1"/>
  <c r="P274" i="1"/>
  <c r="T273" i="1"/>
  <c r="T272" i="1"/>
  <c r="T271" i="1"/>
  <c r="P271" i="1"/>
  <c r="P273" i="1" s="1"/>
  <c r="T270" i="1"/>
  <c r="T269" i="1"/>
  <c r="T268" i="1"/>
  <c r="T267" i="1"/>
  <c r="T266" i="1"/>
  <c r="T265" i="1"/>
  <c r="T264" i="1"/>
  <c r="T263" i="1"/>
  <c r="T262" i="1"/>
  <c r="P262" i="1"/>
  <c r="P263" i="1" s="1"/>
  <c r="T261" i="1"/>
  <c r="T260" i="1"/>
  <c r="T259" i="1"/>
  <c r="T258" i="1"/>
  <c r="T257" i="1"/>
  <c r="T256" i="1"/>
  <c r="T255" i="1"/>
  <c r="T254" i="1"/>
  <c r="T253" i="1"/>
  <c r="P253" i="1"/>
  <c r="P254" i="1" s="1"/>
  <c r="T252" i="1"/>
  <c r="T251" i="1"/>
  <c r="T250" i="1"/>
  <c r="T249" i="1"/>
  <c r="T248" i="1"/>
  <c r="T247" i="1"/>
  <c r="T246" i="1"/>
  <c r="T245" i="1"/>
  <c r="T244" i="1"/>
  <c r="T243" i="1"/>
  <c r="T242" i="1"/>
  <c r="T241" i="1"/>
  <c r="T240" i="1"/>
  <c r="T239" i="1"/>
  <c r="F233" i="1"/>
  <c r="F200" i="1"/>
  <c r="T199" i="1"/>
  <c r="T198" i="1"/>
  <c r="T197" i="1"/>
  <c r="T196" i="1"/>
  <c r="T195" i="1"/>
  <c r="T194" i="1"/>
  <c r="F194" i="1"/>
  <c r="T193" i="1"/>
  <c r="T192" i="1"/>
  <c r="T191" i="1"/>
  <c r="T190" i="1"/>
  <c r="T189" i="1"/>
  <c r="T188" i="1"/>
  <c r="F188" i="1"/>
  <c r="T187" i="1"/>
  <c r="T186" i="1"/>
  <c r="T185" i="1"/>
  <c r="T184" i="1"/>
  <c r="T183" i="1"/>
  <c r="T182" i="1"/>
  <c r="T181" i="1"/>
  <c r="T180" i="1"/>
  <c r="T179" i="1"/>
  <c r="T178" i="1"/>
  <c r="T177" i="1"/>
  <c r="T176" i="1"/>
  <c r="T175" i="1"/>
  <c r="T174" i="1"/>
  <c r="T173" i="1"/>
  <c r="T172" i="1"/>
  <c r="T171" i="1"/>
  <c r="T170" i="1"/>
  <c r="F156" i="1"/>
  <c r="F144" i="1"/>
  <c r="T142" i="1"/>
  <c r="T141" i="1"/>
  <c r="T140" i="1"/>
  <c r="T139" i="1"/>
  <c r="T138" i="1"/>
  <c r="T136" i="1"/>
  <c r="T135" i="1"/>
  <c r="T134" i="1"/>
  <c r="T133" i="1"/>
  <c r="T132" i="1"/>
  <c r="T130" i="1"/>
  <c r="F130" i="1"/>
  <c r="T129" i="1"/>
  <c r="F129" i="1"/>
  <c r="T128" i="1"/>
  <c r="F128" i="1"/>
  <c r="T127" i="1"/>
  <c r="F127" i="1"/>
  <c r="T126" i="1"/>
  <c r="F126" i="1"/>
  <c r="T109" i="1"/>
  <c r="T108" i="1"/>
  <c r="T107" i="1"/>
  <c r="T106" i="1"/>
  <c r="T105" i="1"/>
  <c r="T104" i="1"/>
  <c r="T103" i="1"/>
  <c r="T102" i="1"/>
  <c r="T101" i="1"/>
  <c r="T100" i="1"/>
  <c r="T99" i="1"/>
  <c r="T98" i="1"/>
  <c r="T97" i="1"/>
  <c r="T96" i="1"/>
  <c r="T95" i="1"/>
  <c r="T94" i="1"/>
  <c r="T93" i="1"/>
  <c r="T92" i="1"/>
  <c r="T88"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F56" i="1"/>
  <c r="T55" i="1"/>
  <c r="T54" i="1"/>
  <c r="T53" i="1"/>
  <c r="T52" i="1"/>
  <c r="T51" i="1"/>
  <c r="T50" i="1"/>
  <c r="T49" i="1"/>
  <c r="T48" i="1"/>
  <c r="T47" i="1"/>
  <c r="T46" i="1"/>
  <c r="F38" i="1"/>
  <c r="F4" i="1"/>
  <c r="P272" i="1" l="1"/>
  <c r="P255" i="1"/>
  <c r="P264" i="1"/>
</calcChain>
</file>

<file path=xl/sharedStrings.xml><?xml version="1.0" encoding="utf-8"?>
<sst xmlns="http://schemas.openxmlformats.org/spreadsheetml/2006/main" count="1123" uniqueCount="254">
  <si>
    <t>ave</t>
    <phoneticPr fontId="1" type="noConversion"/>
  </si>
  <si>
    <t>SD</t>
    <phoneticPr fontId="1" type="noConversion"/>
  </si>
  <si>
    <t>Shaanxi</t>
    <phoneticPr fontId="1" type="noConversion"/>
  </si>
  <si>
    <t>maize</t>
    <phoneticPr fontId="1" type="noConversion"/>
  </si>
  <si>
    <t>BP</t>
    <phoneticPr fontId="1" type="noConversion"/>
  </si>
  <si>
    <t>urea</t>
    <phoneticPr fontId="1" type="noConversion"/>
  </si>
  <si>
    <t>GM</t>
    <phoneticPr fontId="1" type="noConversion"/>
  </si>
  <si>
    <t>CK</t>
    <phoneticPr fontId="1" type="noConversion"/>
  </si>
  <si>
    <t>N250</t>
    <phoneticPr fontId="1" type="noConversion"/>
  </si>
  <si>
    <t>N380</t>
    <phoneticPr fontId="1" type="noConversion"/>
  </si>
  <si>
    <t>FM</t>
    <phoneticPr fontId="1" type="noConversion"/>
  </si>
  <si>
    <t>plastic film</t>
    <phoneticPr fontId="1" type="noConversion"/>
  </si>
  <si>
    <t>N0</t>
    <phoneticPr fontId="1" type="noConversion"/>
  </si>
  <si>
    <t>N1</t>
    <phoneticPr fontId="1" type="noConversion"/>
  </si>
  <si>
    <t>N2</t>
    <phoneticPr fontId="1" type="noConversion"/>
  </si>
  <si>
    <t>N3</t>
    <phoneticPr fontId="1" type="noConversion"/>
  </si>
  <si>
    <t>Con</t>
    <phoneticPr fontId="1" type="noConversion"/>
  </si>
  <si>
    <t>Opt</t>
    <phoneticPr fontId="1" type="noConversion"/>
  </si>
  <si>
    <t>Opt+DCD</t>
    <phoneticPr fontId="1" type="noConversion"/>
  </si>
  <si>
    <t>DCD</t>
    <phoneticPr fontId="1" type="noConversion"/>
  </si>
  <si>
    <t>Opt+SR</t>
    <phoneticPr fontId="1" type="noConversion"/>
  </si>
  <si>
    <t>spring maize</t>
    <phoneticPr fontId="1" type="noConversion"/>
  </si>
  <si>
    <t>NM</t>
    <phoneticPr fontId="1" type="noConversion"/>
  </si>
  <si>
    <t>PM</t>
    <phoneticPr fontId="1" type="noConversion"/>
  </si>
  <si>
    <t>SM</t>
    <phoneticPr fontId="1" type="noConversion"/>
  </si>
  <si>
    <t>BM</t>
    <phoneticPr fontId="1" type="noConversion"/>
  </si>
  <si>
    <t>Maize-soybean</t>
    <phoneticPr fontId="1" type="noConversion"/>
  </si>
  <si>
    <t>RP-N225</t>
    <phoneticPr fontId="1" type="noConversion"/>
  </si>
  <si>
    <t>RPS-N180</t>
    <phoneticPr fontId="1" type="noConversion"/>
  </si>
  <si>
    <t>plastic film+straw</t>
    <phoneticPr fontId="1" type="noConversion"/>
  </si>
  <si>
    <t>RPS-N225</t>
    <phoneticPr fontId="1" type="noConversion"/>
  </si>
  <si>
    <t>Shanxi</t>
    <phoneticPr fontId="1" type="noConversion"/>
  </si>
  <si>
    <t>PM1</t>
    <phoneticPr fontId="1" type="noConversion"/>
  </si>
  <si>
    <t>PM2</t>
    <phoneticPr fontId="1" type="noConversion"/>
  </si>
  <si>
    <t>Ningxia</t>
    <phoneticPr fontId="1" type="noConversion"/>
  </si>
  <si>
    <t>TN</t>
    <phoneticPr fontId="1" type="noConversion"/>
  </si>
  <si>
    <t>TL</t>
    <phoneticPr fontId="1" type="noConversion"/>
  </si>
  <si>
    <t>TM</t>
    <phoneticPr fontId="1" type="noConversion"/>
  </si>
  <si>
    <t>TH</t>
    <phoneticPr fontId="1" type="noConversion"/>
  </si>
  <si>
    <t>RN</t>
    <phoneticPr fontId="1" type="noConversion"/>
  </si>
  <si>
    <t>RL</t>
    <phoneticPr fontId="1" type="noConversion"/>
  </si>
  <si>
    <t>RM</t>
    <phoneticPr fontId="1" type="noConversion"/>
  </si>
  <si>
    <t>RH</t>
    <phoneticPr fontId="1" type="noConversion"/>
  </si>
  <si>
    <t>NML</t>
    <phoneticPr fontId="1" type="noConversion"/>
  </si>
  <si>
    <t>biochar</t>
    <phoneticPr fontId="1" type="noConversion"/>
  </si>
  <si>
    <t>NMH</t>
    <phoneticPr fontId="1" type="noConversion"/>
  </si>
  <si>
    <t>PML</t>
    <phoneticPr fontId="1" type="noConversion"/>
  </si>
  <si>
    <t>plastic film+biochar</t>
    <phoneticPr fontId="1" type="noConversion"/>
  </si>
  <si>
    <t>PMH</t>
    <phoneticPr fontId="1" type="noConversion"/>
  </si>
  <si>
    <t>DH</t>
    <phoneticPr fontId="1" type="noConversion"/>
  </si>
  <si>
    <t>DM</t>
    <phoneticPr fontId="1" type="noConversion"/>
  </si>
  <si>
    <t>DL</t>
    <phoneticPr fontId="1" type="noConversion"/>
  </si>
  <si>
    <t>DN</t>
    <phoneticPr fontId="1" type="noConversion"/>
  </si>
  <si>
    <t>FH</t>
    <phoneticPr fontId="1" type="noConversion"/>
  </si>
  <si>
    <t>FL</t>
    <phoneticPr fontId="1" type="noConversion"/>
  </si>
  <si>
    <t>FN</t>
    <phoneticPr fontId="1" type="noConversion"/>
  </si>
  <si>
    <t>N120</t>
    <phoneticPr fontId="1" type="noConversion"/>
  </si>
  <si>
    <t>N175</t>
    <phoneticPr fontId="1" type="noConversion"/>
  </si>
  <si>
    <t>N230</t>
    <phoneticPr fontId="1" type="noConversion"/>
  </si>
  <si>
    <t>N285</t>
    <phoneticPr fontId="1" type="noConversion"/>
  </si>
  <si>
    <t>RN+NI</t>
    <phoneticPr fontId="1" type="noConversion"/>
  </si>
  <si>
    <t>DS</t>
    <phoneticPr fontId="1" type="noConversion"/>
  </si>
  <si>
    <t>D</t>
    <phoneticPr fontId="1" type="noConversion"/>
  </si>
  <si>
    <t>FS</t>
    <phoneticPr fontId="1" type="noConversion"/>
  </si>
  <si>
    <t>F</t>
    <phoneticPr fontId="1" type="noConversion"/>
  </si>
  <si>
    <t>no mulching</t>
    <phoneticPr fontId="1" type="noConversion"/>
  </si>
  <si>
    <t>straw mulching</t>
    <phoneticPr fontId="1" type="noConversion"/>
  </si>
  <si>
    <t>film mulching</t>
    <phoneticPr fontId="1" type="noConversion"/>
  </si>
  <si>
    <t>Gansu</t>
    <phoneticPr fontId="1" type="noConversion"/>
  </si>
  <si>
    <t>MF</t>
    <phoneticPr fontId="1" type="noConversion"/>
  </si>
  <si>
    <t>MOF</t>
    <phoneticPr fontId="1" type="noConversion"/>
  </si>
  <si>
    <t>OFP</t>
    <phoneticPr fontId="1" type="noConversion"/>
  </si>
  <si>
    <t>MSP</t>
    <phoneticPr fontId="1" type="noConversion"/>
  </si>
  <si>
    <t>straw</t>
    <phoneticPr fontId="1" type="noConversion"/>
  </si>
  <si>
    <t>NA</t>
    <phoneticPr fontId="1" type="noConversion"/>
  </si>
  <si>
    <t>CF</t>
    <phoneticPr fontId="1" type="noConversion"/>
  </si>
  <si>
    <t>SC</t>
    <phoneticPr fontId="1" type="noConversion"/>
  </si>
  <si>
    <t>MS</t>
    <phoneticPr fontId="1" type="noConversion"/>
  </si>
  <si>
    <t>N1</t>
  </si>
  <si>
    <t>N2</t>
  </si>
  <si>
    <t>N3</t>
  </si>
  <si>
    <t>PR0</t>
    <phoneticPr fontId="1" type="noConversion"/>
  </si>
  <si>
    <t>PR120</t>
    <phoneticPr fontId="1" type="noConversion"/>
  </si>
  <si>
    <t>PR240</t>
    <phoneticPr fontId="1" type="noConversion"/>
  </si>
  <si>
    <t>CT0</t>
    <phoneticPr fontId="1" type="noConversion"/>
  </si>
  <si>
    <t>CT120</t>
    <phoneticPr fontId="1" type="noConversion"/>
  </si>
  <si>
    <t>CT240</t>
    <phoneticPr fontId="1" type="noConversion"/>
  </si>
  <si>
    <t>T1</t>
    <phoneticPr fontId="1" type="noConversion"/>
  </si>
  <si>
    <t>T2</t>
  </si>
  <si>
    <t>T3</t>
  </si>
  <si>
    <t>T4</t>
  </si>
  <si>
    <t>T5</t>
  </si>
  <si>
    <t>T6</t>
  </si>
  <si>
    <t>35.12.79</t>
    <phoneticPr fontId="1" type="noConversion"/>
  </si>
  <si>
    <t>107.44.70</t>
    <phoneticPr fontId="1" type="noConversion"/>
  </si>
  <si>
    <t>winter wheat</t>
    <phoneticPr fontId="1" type="noConversion"/>
  </si>
  <si>
    <t>2016-2017</t>
    <phoneticPr fontId="1" type="noConversion"/>
  </si>
  <si>
    <t>urea+manure</t>
    <phoneticPr fontId="1" type="noConversion"/>
  </si>
  <si>
    <t>NMW</t>
    <phoneticPr fontId="1" type="noConversion"/>
  </si>
  <si>
    <t>2017-2018</t>
    <phoneticPr fontId="1" type="noConversion"/>
  </si>
  <si>
    <t>2020-2021</t>
    <phoneticPr fontId="1" type="noConversion"/>
  </si>
  <si>
    <t>N180</t>
    <phoneticPr fontId="1" type="noConversion"/>
  </si>
  <si>
    <t>N240</t>
    <phoneticPr fontId="1" type="noConversion"/>
  </si>
  <si>
    <t>NM120</t>
    <phoneticPr fontId="1" type="noConversion"/>
  </si>
  <si>
    <t>NM180</t>
    <phoneticPr fontId="1" type="noConversion"/>
  </si>
  <si>
    <t>NM240</t>
    <phoneticPr fontId="1" type="noConversion"/>
  </si>
  <si>
    <t>2021-2022</t>
    <phoneticPr fontId="1" type="noConversion"/>
  </si>
  <si>
    <t>2007-2008</t>
    <phoneticPr fontId="1" type="noConversion"/>
  </si>
  <si>
    <t>2015-2016</t>
    <phoneticPr fontId="1" type="noConversion"/>
  </si>
  <si>
    <t>green manure</t>
    <phoneticPr fontId="1" type="noConversion"/>
  </si>
  <si>
    <t>SR+GM</t>
    <phoneticPr fontId="1" type="noConversion"/>
  </si>
  <si>
    <t>straw mulching+green manure</t>
    <phoneticPr fontId="1" type="noConversion"/>
  </si>
  <si>
    <t>spring wheat</t>
    <phoneticPr fontId="1" type="noConversion"/>
  </si>
  <si>
    <t>T</t>
    <phoneticPr fontId="1" type="noConversion"/>
  </si>
  <si>
    <t>tillage</t>
    <phoneticPr fontId="1" type="noConversion"/>
  </si>
  <si>
    <t>NT</t>
    <phoneticPr fontId="1" type="noConversion"/>
  </si>
  <si>
    <t>no-till</t>
    <phoneticPr fontId="1" type="noConversion"/>
  </si>
  <si>
    <t>NTS</t>
    <phoneticPr fontId="1" type="noConversion"/>
  </si>
  <si>
    <t>no-till+straw</t>
    <phoneticPr fontId="1" type="noConversion"/>
  </si>
  <si>
    <t>TS</t>
    <phoneticPr fontId="1" type="noConversion"/>
  </si>
  <si>
    <t>till+straw</t>
    <phoneticPr fontId="1" type="noConversion"/>
  </si>
  <si>
    <t>N50</t>
    <phoneticPr fontId="1" type="noConversion"/>
  </si>
  <si>
    <t>N100</t>
    <phoneticPr fontId="1" type="noConversion"/>
  </si>
  <si>
    <t>BN0</t>
    <phoneticPr fontId="1" type="noConversion"/>
  </si>
  <si>
    <t>BN50</t>
    <phoneticPr fontId="1" type="noConversion"/>
  </si>
  <si>
    <t>BN100</t>
    <phoneticPr fontId="1" type="noConversion"/>
  </si>
  <si>
    <t>SN0</t>
    <phoneticPr fontId="1" type="noConversion"/>
  </si>
  <si>
    <t>straw4.5t</t>
    <phoneticPr fontId="1" type="noConversion"/>
  </si>
  <si>
    <t>SN50</t>
    <phoneticPr fontId="1" type="noConversion"/>
  </si>
  <si>
    <t>SN100</t>
    <phoneticPr fontId="1" type="noConversion"/>
  </si>
  <si>
    <t>till</t>
    <phoneticPr fontId="1" type="noConversion"/>
  </si>
  <si>
    <t>Gausu</t>
    <phoneticPr fontId="1" type="noConversion"/>
  </si>
  <si>
    <t>35.34.45</t>
    <phoneticPr fontId="1" type="noConversion"/>
  </si>
  <si>
    <t>104.39.1</t>
    <phoneticPr fontId="1" type="noConversion"/>
  </si>
  <si>
    <t>CT-LN</t>
    <phoneticPr fontId="1" type="noConversion"/>
  </si>
  <si>
    <t>CT-MN</t>
    <phoneticPr fontId="1" type="noConversion"/>
  </si>
  <si>
    <t>CT-HN</t>
    <phoneticPr fontId="1" type="noConversion"/>
  </si>
  <si>
    <t>CTS-LN</t>
    <phoneticPr fontId="1" type="noConversion"/>
  </si>
  <si>
    <t>tillage+straw</t>
    <phoneticPr fontId="1" type="noConversion"/>
  </si>
  <si>
    <t>CTS-MN</t>
    <phoneticPr fontId="1" type="noConversion"/>
  </si>
  <si>
    <t>CTS-HN</t>
    <phoneticPr fontId="1" type="noConversion"/>
  </si>
  <si>
    <t>LN</t>
    <phoneticPr fontId="1" type="noConversion"/>
  </si>
  <si>
    <t>MN</t>
    <phoneticPr fontId="1" type="noConversion"/>
  </si>
  <si>
    <t>HN</t>
    <phoneticPr fontId="1" type="noConversion"/>
  </si>
  <si>
    <t>apple</t>
    <phoneticPr fontId="1" type="noConversion"/>
  </si>
  <si>
    <t>B</t>
    <phoneticPr fontId="1" type="noConversion"/>
  </si>
  <si>
    <t>biocar</t>
    <phoneticPr fontId="1" type="noConversion"/>
  </si>
  <si>
    <t>FB</t>
    <phoneticPr fontId="1" type="noConversion"/>
  </si>
  <si>
    <t>2018-2019</t>
    <phoneticPr fontId="1" type="noConversion"/>
  </si>
  <si>
    <t>NMck</t>
    <phoneticPr fontId="1" type="noConversion"/>
  </si>
  <si>
    <t>NMm</t>
    <phoneticPr fontId="1" type="noConversion"/>
  </si>
  <si>
    <t>manure</t>
    <phoneticPr fontId="1" type="noConversion"/>
  </si>
  <si>
    <t>NMnpk</t>
    <phoneticPr fontId="1" type="noConversion"/>
  </si>
  <si>
    <t>NMmnpk</t>
    <phoneticPr fontId="1" type="noConversion"/>
  </si>
  <si>
    <t>PMck</t>
    <phoneticPr fontId="1" type="noConversion"/>
  </si>
  <si>
    <t>PMm</t>
    <phoneticPr fontId="1" type="noConversion"/>
  </si>
  <si>
    <t>PMnpk</t>
    <phoneticPr fontId="1" type="noConversion"/>
  </si>
  <si>
    <t>PMmnpk</t>
    <phoneticPr fontId="1" type="noConversion"/>
  </si>
  <si>
    <t>M</t>
    <phoneticPr fontId="1" type="noConversion"/>
  </si>
  <si>
    <t>NPK</t>
    <phoneticPr fontId="1" type="noConversion"/>
  </si>
  <si>
    <t>MNPK</t>
    <phoneticPr fontId="1" type="noConversion"/>
  </si>
  <si>
    <t>2017-2019</t>
    <phoneticPr fontId="1" type="noConversion"/>
  </si>
  <si>
    <t>N</t>
    <phoneticPr fontId="1" type="noConversion"/>
  </si>
  <si>
    <t>35.45.56</t>
    <phoneticPr fontId="1" type="noConversion"/>
  </si>
  <si>
    <t>109.25.28</t>
    <phoneticPr fontId="1" type="noConversion"/>
  </si>
  <si>
    <t>N800</t>
    <phoneticPr fontId="1" type="noConversion"/>
  </si>
  <si>
    <t>N400</t>
    <phoneticPr fontId="1" type="noConversion"/>
  </si>
  <si>
    <t>NO400</t>
    <phoneticPr fontId="1" type="noConversion"/>
  </si>
  <si>
    <t>36.41.15</t>
    <phoneticPr fontId="1" type="noConversion"/>
  </si>
  <si>
    <t>109.21.24</t>
    <phoneticPr fontId="1" type="noConversion"/>
  </si>
  <si>
    <t>OCWS</t>
    <phoneticPr fontId="1" type="noConversion"/>
  </si>
  <si>
    <t>CWS</t>
    <phoneticPr fontId="1" type="noConversion"/>
  </si>
  <si>
    <t>CC</t>
    <phoneticPr fontId="1" type="noConversion"/>
  </si>
  <si>
    <t>Inner Mongolia</t>
    <phoneticPr fontId="1" type="noConversion"/>
  </si>
  <si>
    <t>potato</t>
    <phoneticPr fontId="1" type="noConversion"/>
  </si>
  <si>
    <t>RMU</t>
    <phoneticPr fontId="1" type="noConversion"/>
  </si>
  <si>
    <t>RMC</t>
    <phoneticPr fontId="1" type="noConversion"/>
  </si>
  <si>
    <t>RMCU</t>
    <phoneticPr fontId="1" type="noConversion"/>
  </si>
  <si>
    <t>NMU</t>
    <phoneticPr fontId="1" type="noConversion"/>
  </si>
  <si>
    <t>NMC</t>
    <phoneticPr fontId="1" type="noConversion"/>
  </si>
  <si>
    <t>NMCU</t>
    <phoneticPr fontId="1" type="noConversion"/>
  </si>
  <si>
    <t>Provice</t>
    <phoneticPr fontId="1" type="noConversion"/>
  </si>
  <si>
    <t>Annual temperature</t>
    <phoneticPr fontId="1" type="noConversion"/>
  </si>
  <si>
    <t>Annual precipitation</t>
    <phoneticPr fontId="1" type="noConversion"/>
  </si>
  <si>
    <t>mm</t>
    <phoneticPr fontId="1" type="noConversion"/>
  </si>
  <si>
    <t>℃</t>
  </si>
  <si>
    <t>g kg-1</t>
    <phoneticPr fontId="1" type="noConversion"/>
  </si>
  <si>
    <t>Bulk density</t>
    <phoneticPr fontId="1" type="noConversion"/>
  </si>
  <si>
    <t>g cm-3</t>
    <phoneticPr fontId="1" type="noConversion"/>
  </si>
  <si>
    <t>pH</t>
    <phoneticPr fontId="1" type="noConversion"/>
  </si>
  <si>
    <t>Crop</t>
    <phoneticPr fontId="1" type="noConversion"/>
  </si>
  <si>
    <t>Year</t>
    <phoneticPr fontId="1" type="noConversion"/>
  </si>
  <si>
    <t>Treatment</t>
    <phoneticPr fontId="1" type="noConversion"/>
  </si>
  <si>
    <t>Replicates</t>
    <phoneticPr fontId="1" type="noConversion"/>
  </si>
  <si>
    <t>N input rate</t>
    <phoneticPr fontId="1" type="noConversion"/>
  </si>
  <si>
    <t>kg N ha-1</t>
  </si>
  <si>
    <t>kg N ha-1</t>
    <phoneticPr fontId="1" type="noConversion"/>
  </si>
  <si>
    <t>Crop yield</t>
    <phoneticPr fontId="1" type="noConversion"/>
  </si>
  <si>
    <t>t ha-1</t>
    <phoneticPr fontId="1" type="noConversion"/>
  </si>
  <si>
    <t>N2O</t>
  </si>
  <si>
    <t>ave</t>
  </si>
  <si>
    <t>SD</t>
  </si>
  <si>
    <t>Latitude</t>
    <phoneticPr fontId="1" type="noConversion"/>
  </si>
  <si>
    <t>Longitude</t>
    <phoneticPr fontId="1" type="noConversion"/>
  </si>
  <si>
    <t>Soil organic carbon</t>
    <phoneticPr fontId="1" type="noConversion"/>
  </si>
  <si>
    <t>Total nitrogen</t>
    <phoneticPr fontId="1" type="noConversion"/>
  </si>
  <si>
    <t>N source</t>
    <phoneticPr fontId="1" type="noConversion"/>
  </si>
  <si>
    <t>Farming practices</t>
    <phoneticPr fontId="1" type="noConversion"/>
  </si>
  <si>
    <t>plastic film mulching</t>
  </si>
  <si>
    <t>plastic film mulching</t>
    <phoneticPr fontId="1" type="noConversion"/>
  </si>
  <si>
    <t>bio-plastic mulching</t>
    <phoneticPr fontId="1" type="noConversion"/>
  </si>
  <si>
    <t>urea</t>
  </si>
  <si>
    <t>urea+straw</t>
    <phoneticPr fontId="1" type="noConversion"/>
  </si>
  <si>
    <t>urea+green manure</t>
    <phoneticPr fontId="1" type="noConversion"/>
  </si>
  <si>
    <t>plastic film mulching+control release fertilizer</t>
    <phoneticPr fontId="1" type="noConversion"/>
  </si>
  <si>
    <t>Slow release fertilizers</t>
    <phoneticPr fontId="1" type="noConversion"/>
  </si>
  <si>
    <t>References</t>
    <phoneticPr fontId="1" type="noConversion"/>
  </si>
  <si>
    <r>
      <t xml:space="preserve">Sun M, Ma B, Lu P, Bai J, Mi J, Liu J (2023) Blending controlled-release urea and urea under ridge-furrow with plastic film mulching improves yield while mitigating carbon footprint in rainfed potato. Sci Rep 13:4018. </t>
    </r>
    <r>
      <rPr>
        <u/>
        <sz val="11"/>
        <color theme="10"/>
        <rFont val="等线"/>
        <family val="3"/>
        <charset val="134"/>
        <scheme val="minor"/>
      </rPr>
      <t>https://doi.org/10.1038/S41598-022-25845-4</t>
    </r>
  </si>
  <si>
    <r>
      <t xml:space="preserve">Han J, Zhang A, Kang Y, Han J, Yang B, Hussain Q, Wang X, Zhang M, Khan MA (2022) Biochar promotes soil organic carbon sequestration and reduces net global warming potential in apple orchard: A two-year study in the Loess Plateau of China. Sci Total Environ 803:150035. </t>
    </r>
    <r>
      <rPr>
        <u/>
        <sz val="11"/>
        <color theme="10"/>
        <rFont val="等线"/>
        <family val="3"/>
        <charset val="134"/>
        <scheme val="minor"/>
      </rPr>
      <t>https://doi.org/10.1016/j.scitotenv.2021.150035</t>
    </r>
  </si>
  <si>
    <t>Liu J, Zhu L, Luo S, et al (2014) Response of nitrous oxide emission to soil mulching and nitrogen fertilization in semi-arid farmland. Agric Ecosyst Environ 188:20–28. https://doi.org/10.1016/J.AGEE.2014.02.010</t>
  </si>
  <si>
    <t>Wang S, Luo S, Li X, et al (2016) Effect of split application of nitrogen on nitrous oxide emissions from plastic mulching maize in the semiarid Loess Plateau. Agric Ecosyst Environ 220:21–27. https://doi.org/10.1016/J.AGEE.2015.12.030</t>
  </si>
  <si>
    <t>Jiang J, Wang R, Wang Z, et al (2017) Nitrous Oxide and Methane Emissions in Spring Maize Field in the Semi-Arid Regions of Loess Plateau. Clean (Weinh) 45:. https://doi.org/10.1002/CLEN.201500271;WGROUP:STRING:PUBLICATION</t>
  </si>
  <si>
    <t>Du Y, Lu Y, Guo S, et al (2024b) Enhanced efficiency nitrogen fertilizers (EENFs) can reduce nitrous oxide emissions and maintain high grain yields in a rain-fed spring maize cropping system. Field Crops Res 312:109408. https://doi.org/10.1016/J.FCR.2024.109408</t>
  </si>
  <si>
    <t>Gao N, Wei Y, Zhang WW, et al (2022) Carbon footprint, yield and economic performance assessment of different mulching strategies in a semi-arid spring maize system. Science of The Total Environment 826:154021. https://doi.org/10.1016/J.SCITOTENV.2022.154021</t>
  </si>
  <si>
    <t>Zhang W, Lu JS, Bai J, et al (2024c) Introduction of soybean into maize field reduces N2O emission intensity via optimizing nitrogen source utilization. J Clean Prod 442:141052. https://doi.org/10.1016/J.JCLEPRO.2024.141052</t>
  </si>
  <si>
    <t>Zhang M, Yang N, Wang S, et al (2024b) Straw returning and nitrogen reduction: Strategies for sustainable maize production in the dryland. J Environ Manage 366:121837. https://doi.org/10.1016/J.JENVMAN.2024.121837</t>
  </si>
  <si>
    <t>CHEN B qing, BARAM S, DONG W yi, et al (2021) Response of carbon footprint to plastic film mulch application in spring maize production and mitigation strategy. J Integr Agric 20:1933–1943. https://doi.org/10.1016/S2095-3119(20)63278-6</t>
  </si>
  <si>
    <t>Zhang Y, Liu D, Jia Z, Zhang P (2021) Ridge and furrow rainfall harvesting can significantly reduce N2O emissions from spring maize fields in semiarid regions of China. Soil Tillage Res 209:104971. https://doi.org/10.1016/J.STILL.2021.104971</t>
  </si>
  <si>
    <t>Liu Z, Wang B, Li Z, et al (2022) Plastic film mulch combined with adding biochar improved soil carbon budget, carbon footprint, and maize yield in a rainfed region. Field Crops Res 284:108574. https://doi.org/10.1016/J.FCR.2022.108574</t>
  </si>
  <si>
    <t>Pang J, Tian Z, Zhang M, et al (2025) Enhancing carbon sequestration and greenhouse gas mitigation in semiarid farmland: The promising role of biochar application with biodegradable film mulching. J Integr Agric 24:517–535. https://doi.org/10.1016/J.JIA.2023.12.011</t>
  </si>
  <si>
    <t>Wu X, Li J, Xue X, et al (2023) Matching fertilization with available soil water storage to tackle the trade-offs between high yield and low N2O emissions in a semi-arid area: Mechanisms and solutions. Agric Water Manag 288:108488. https://doi.org/10.1016/J.AGWAT.2023.108488</t>
  </si>
  <si>
    <t>Wu X, Li J, Zhang T, et al (2024) Higher Available Soil Water Storage at Sowing and Frequency of Rainfall Events During the First Month Enhanced the Inhibitory Effect of Nitrification Inhibitor on Nitrous Oxide Emissions. J Soil Sci Plant Nutr 24:1278–1287. https://doi.org/10.1007/S42729-024-01628-W/TABLES/4</t>
  </si>
  <si>
    <t>Qian R, Guo R, Naseer MA, et al (2023) Long-term straw incorporation regulates greenhouse gas emissions from biodegradable film farmland, improves ecosystem carbon budget and sustainable maize productivity. Field Crops Res 295:108890. https://doi.org/10.1016/J.FCR.2023.108890</t>
  </si>
  <si>
    <t>Song Q, Yang B, Xu M, et al (2024) A three-year record of CO2, CH4 and N2O emissions in maize fields influenced by mulching methods on the Loess Plateau, China. Agric Ecosyst Environ 367:108963. https://doi.org/10.1016/J.AGEE.2024.108963</t>
  </si>
  <si>
    <t>Fudjoe SK, Li L, Jiang Y, et al (2022) Impact of soil amendments on nitrous oxide emissions and the associated denitrifying communities in a semi-arid environment. Front Microbiol 13:905157. https://doi.org/10.3389/FMICB.2022.905157/BIBTEX</t>
  </si>
  <si>
    <t>Fudjoe SK, Li L, Anwar S, et al (2023b) Nitrogen fertilization promoted microbial growth and N2O emissions by increasing the abundance of nirS and nosZ denitrifiers in semiarid maize field. Front Microbiol 14:1265562. https://doi.org/10.3389/FMICB.2023.1265562/BIBTEX</t>
  </si>
  <si>
    <t>Fudjoe SK, Li L, Anwar S, et al (2023a) The impact of fertilization on ammonia-oxidizing bacteria and comammox Nitrospira communities and the subsequent effect on N2O emission and maize yield in a semi-arid region. Front Microbiol 14:1249668. https://doi.org/10.3389/FMICB.2023.1249668/BIBTEX</t>
  </si>
  <si>
    <t>Xie L, Li L, Xie J, et al (2025) A suitable organic fertilizer substitution ratio stabilizes rainfed maize yields and reduces gaseous nitrogen loss in the Loess Plateau, China. J Integr Agric 24:2138–2154. https://doi.org/10.1016/J.JIA.2024.03.021</t>
  </si>
  <si>
    <t>Liu P, Lin Y, Liu X, et al (2023) Manure substitution with appropriate N rate enhanced the soil quality, crop productivity and net ecosystem economic benefit: A sustainable rainfed wheat practice. Field Crops Res 304:109164. https://doi.org/10.1016/J.FCR.2023.109164</t>
  </si>
  <si>
    <t>Pang J, Wang X, Peng C, et al (2019) Nitrous oxide emissions from soils under traditional cropland and apple orchard in the semi-arid Loess Plateau of China. Agric Ecosyst Environ 269:116–124. https://doi.org/10.1016/J.AGEE.2018.09.028</t>
  </si>
  <si>
    <t>Qiu W, Bao M, Yang W, et al (2022) Soil surface management of legume cover has the potential to mitigate nitrous oxide emissions from the fallow season during wheat production. Science of The Total Environment 820:153352. https://doi.org/10.1016/J.SCITOTENV.2022.153352</t>
  </si>
  <si>
    <t>Yeboah S, Jun W, Liqun C, et al (2021) Nitrous oxide, methane emissions and grain yield in rainfed wheat grown under nitrogen enriched biochar and straw in a semiarid environment. PeerJ 9:e11937. https://doi.org/10.7717/PEERJ.11937/SUPP-4</t>
  </si>
  <si>
    <t>Yeboah S, Zhang R, Cai L, et al (2016) Greenhouse gas emissions in a spring wheat–field pea sequence under different tillage practices in semi-arid Northwest China. Nutr Cycl Agroecosyst 106:77–91. https://doi.org/10.1007/S10705-016-9790-1/FIGURES/5</t>
  </si>
  <si>
    <t>Yuan J, Yan L, Li G, et al (2022) Effects of conservation tillage strategies on soil physicochemical indicators and N2O emission under spring wheat monocropping system conditions. Sci Rep 12:1–13. https://doi.org/10.1038/S41598-022-11391-6;SUBJMETA=106,158,172,631,704;KWRD=CLIMATE+SCIENCES,ECOLOGY,ENVIRONMENTAL+SCIENCES</t>
  </si>
  <si>
    <t>Yuan J, Yao Y, Guan Y, et al (2024) Effects of land use patterns on soil properties and nitrous oxide flux on a semi-arid environmental conditions of Loess Plateau China. Glob Ecol Conserv 51:e02899. https://doi.org/10.1016/J.GECCO.2024.E02899</t>
  </si>
  <si>
    <t>Wang H, Wu J, Li G, Yuan J (2025) Influence of Nitrogen Addition Levels on N2O Flux and Yield of Spring Wheat in the Loess Plateau. Agronomy 2025, Vol 15, Page 1377 15:1377. https://doi.org/10.3390/AGRONOMY15061377</t>
  </si>
  <si>
    <t>Sompouviset T, Ma Y, Sukkaew E, et al (2023) The Effects of Plastic Mulching Combined with Different Fertilizer Applications on Greenhouse Gas Emissions and Intensity, and Apple Yield in Northwestern China. Agriculture (Switzerland) 13:1211. https://doi.org/10.3390/AGRICULTURE13061211/S1</t>
  </si>
  <si>
    <t>Zhang M, Cai L, Li C, et al (2024a) The assessment of environmental effect and economic benefit for apple orchard under different stand ages in the Loess Plateau, China. Plant Soil 511:427–445. https://doi.org/10.1007/S11104-024-06999-8/FIGURES/6</t>
  </si>
  <si>
    <t>Zhang B, Yan S, Li B, et al (2023) Combining organic and chemical fertilizer plus water-saving system reduces environmental impacts and improves apple yield in rainfed apple orchards. Agric Water Manag 288:108482. https://doi.org/10.1016/J.AGWAT.2023.108482</t>
  </si>
  <si>
    <t>Han J, Jin X, Huang S, et al (2023) Carbon and nitrogen footprints of apple orchards in China’s Loess Plateau under different fertilization regimes. J Clean Prod 413:137546. https://doi.org/10.1016/J.JCLEPRO.2023.137546</t>
  </si>
  <si>
    <t>Du M, Yao Y, Liu S, et al (2024a) Reducing Nitrogen Application Rates and Straw Mulching Can Alleviate Greenhouse Gas Emissions from Wheat Field Soil and Improve Soil Quality. Agronomy 2024, Vol 14, Page 2087 14:2087. https://doi.org/10.3390/AGRONOMY14092087</t>
  </si>
  <si>
    <t>Du M, Yuan J, Zhuo M, et al (2023) Effects of different land use patterns on soil properties and N2O emissions on a semi-arid Loess Plateau of Central Gansu. Front Ecol Evol 11:1128236. https://doi.org/10.3389/FEVO.2023.1128236</t>
  </si>
  <si>
    <t>Jia Q, Wang J, Ali S, et al (2020) Nutrient management and cultivation techniques affect maize production through regulating greenhouse gas intensity and carbon budget under semi-arid climate. J Clean Prod 276:124197. https://doi.org/10.1016/J.JCLEPRO.2020.124197</t>
  </si>
  <si>
    <t>Yang W, Yue S, Chang F, et al (2022) Reducing greenhouse gas emissions and increasing yield through manure substitution and supplemental irrigation in dryland of northwest China. Agric Ecosyst Environ 332:107937. https://doi.org/10.1016/J.AGEE.2022.107937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</si>
</sst>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7" x14ac:knownFonts="1">
    <font>
      <sz val="11"/>
      <color theme="1"/>
      <name val="等线"/>
      <family val="2"/>
      <charset val="134"/>
      <scheme val="minor"/>
    </font>
    <font>
      <sz val="9"/>
      <name val="等线"/>
      <family val="2"/>
      <charset val="134"/>
      <scheme val="minor"/>
    </font>
    <font>
      <sz val="10"/>
      <color theme="1"/>
      <name val="Times New Roman"/>
      <family val="1"/>
    </font>
    <font>
      <sz val="10"/>
      <color rgb="FF000000"/>
      <name val="Times New Roman"/>
      <family val="1"/>
    </font>
    <font>
      <u/>
      <sz val="11"/>
      <color theme="10"/>
      <name val="等线"/>
      <family val="2"/>
      <charset val="134"/>
      <scheme val="minor"/>
    </font>
    <font>
      <u/>
      <sz val="11"/>
      <color theme="10"/>
      <name val="等线"/>
      <family val="3"/>
      <charset val="134"/>
      <scheme val="minor"/>
    </font>
    <font>
      <sz val="11"/>
      <color rgb="FF00000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8">
    <xf numFmtId="0" fontId="0" fillId="0" borderId="0" xfId="0">
      <alignment vertical="center"/>
    </xf>
    <xf numFmtId="0" fontId="2" fillId="0" borderId="0" xfId="0" applyFont="1">
      <alignment vertical="center"/>
    </xf>
    <xf numFmtId="0" fontId="2" fillId="0" borderId="0" xfId="0" applyFont="1" applyFill="1">
      <alignment vertical="center"/>
    </xf>
    <xf numFmtId="0" fontId="3" fillId="0" borderId="0" xfId="0" applyFont="1" applyFill="1">
      <alignment vertical="center"/>
    </xf>
    <xf numFmtId="176" fontId="2" fillId="0" borderId="0" xfId="0" applyNumberFormat="1" applyFont="1" applyFill="1">
      <alignment vertical="center"/>
    </xf>
    <xf numFmtId="177" fontId="2" fillId="0" borderId="0" xfId="0" applyNumberFormat="1" applyFont="1" applyFill="1">
      <alignment vertical="center"/>
    </xf>
    <xf numFmtId="0" fontId="4" fillId="0" borderId="0" xfId="1">
      <alignment vertical="center"/>
    </xf>
    <xf numFmtId="0" fontId="6"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016/j.scitotenv.2021.150035" TargetMode="External"/><Relationship Id="rId1" Type="http://schemas.openxmlformats.org/officeDocument/2006/relationships/hyperlink" Target="https://doi.org/10.1038/S41598-022-2584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2B75-D907-4232-BB9C-A32E13ABFDBD}">
  <dimension ref="A1:AA369"/>
  <sheetViews>
    <sheetView tabSelected="1" workbookViewId="0">
      <selection activeCell="J377" sqref="J377"/>
    </sheetView>
  </sheetViews>
  <sheetFormatPr defaultRowHeight="13.8" x14ac:dyDescent="0.25"/>
  <cols>
    <col min="1" max="2" width="10.33203125" style="1" customWidth="1"/>
    <col min="3" max="3" width="11" style="1" customWidth="1"/>
    <col min="4" max="4" width="17.77734375" style="1" customWidth="1"/>
    <col min="5" max="5" width="18.109375" style="1" customWidth="1"/>
    <col min="6" max="6" width="17.77734375" style="1" customWidth="1"/>
    <col min="7" max="8" width="12" style="1" customWidth="1"/>
    <col min="9" max="9" width="8.88671875" style="1"/>
    <col min="10" max="10" width="13.88671875" style="2" customWidth="1"/>
    <col min="11" max="11" width="13.44140625" style="1" customWidth="1"/>
    <col min="12" max="12" width="12.6640625" style="2" customWidth="1"/>
    <col min="13" max="13" width="18.21875" style="2" customWidth="1"/>
    <col min="14" max="14" width="39" style="2" customWidth="1"/>
    <col min="15" max="15" width="10.33203125" style="2" customWidth="1"/>
    <col min="16" max="16" width="14.5546875" style="2" customWidth="1"/>
    <col min="17" max="17" width="12.109375" style="4" customWidth="1"/>
    <col min="18" max="18" width="12.21875" style="4" customWidth="1"/>
    <col min="19" max="19" width="14.44140625" style="5" customWidth="1"/>
    <col min="20" max="20" width="9.88671875" style="5" customWidth="1"/>
    <col min="21" max="21" width="16.77734375" style="1" customWidth="1"/>
    <col min="22" max="24" width="8.88671875" style="1"/>
  </cols>
  <sheetData>
    <row r="1" spans="1:27" x14ac:dyDescent="0.25">
      <c r="A1" s="1" t="s">
        <v>181</v>
      </c>
      <c r="B1" s="1" t="s">
        <v>202</v>
      </c>
      <c r="C1" s="1" t="s">
        <v>203</v>
      </c>
      <c r="D1" s="1" t="s">
        <v>182</v>
      </c>
      <c r="E1" s="1" t="s">
        <v>183</v>
      </c>
      <c r="F1" s="1" t="s">
        <v>204</v>
      </c>
      <c r="G1" s="1" t="s">
        <v>205</v>
      </c>
      <c r="H1" s="1" t="s">
        <v>187</v>
      </c>
      <c r="I1" s="1" t="s">
        <v>189</v>
      </c>
      <c r="J1" s="2" t="s">
        <v>190</v>
      </c>
      <c r="K1" s="1" t="s">
        <v>191</v>
      </c>
      <c r="L1" s="2" t="s">
        <v>192</v>
      </c>
      <c r="M1" s="2" t="s">
        <v>206</v>
      </c>
      <c r="N1" s="2" t="s">
        <v>207</v>
      </c>
      <c r="O1" s="2" t="s">
        <v>193</v>
      </c>
      <c r="P1" s="2" t="s">
        <v>194</v>
      </c>
      <c r="Q1" s="4" t="s">
        <v>199</v>
      </c>
      <c r="S1" s="5" t="s">
        <v>197</v>
      </c>
      <c r="U1" s="1" t="s">
        <v>216</v>
      </c>
    </row>
    <row r="2" spans="1:27" x14ac:dyDescent="0.25">
      <c r="D2" s="1" t="s">
        <v>185</v>
      </c>
      <c r="E2" s="1" t="s">
        <v>184</v>
      </c>
      <c r="F2" s="1" t="s">
        <v>186</v>
      </c>
      <c r="G2" s="1" t="s">
        <v>186</v>
      </c>
      <c r="H2" s="1" t="s">
        <v>188</v>
      </c>
      <c r="P2" s="2" t="s">
        <v>196</v>
      </c>
      <c r="Q2" s="4" t="s">
        <v>195</v>
      </c>
      <c r="S2" s="5" t="s">
        <v>198</v>
      </c>
      <c r="Y2" s="1"/>
      <c r="Z2" s="1"/>
      <c r="AA2" s="1"/>
    </row>
    <row r="3" spans="1:27" x14ac:dyDescent="0.25">
      <c r="Q3" s="4" t="s">
        <v>200</v>
      </c>
      <c r="R3" s="4" t="s">
        <v>201</v>
      </c>
      <c r="S3" s="5" t="s">
        <v>0</v>
      </c>
      <c r="T3" s="5" t="s">
        <v>1</v>
      </c>
    </row>
    <row r="4" spans="1:27" x14ac:dyDescent="0.25">
      <c r="A4" s="1" t="s">
        <v>2</v>
      </c>
      <c r="B4" s="1">
        <v>35.28</v>
      </c>
      <c r="C4" s="1">
        <v>107.88</v>
      </c>
      <c r="D4" s="1">
        <v>9.1999999999999993</v>
      </c>
      <c r="E4" s="1">
        <v>582</v>
      </c>
      <c r="F4" s="1">
        <f>16.4*0.58</f>
        <v>9.5119999999999987</v>
      </c>
      <c r="G4" s="1">
        <v>1.05</v>
      </c>
      <c r="H4" s="1">
        <v>1.3</v>
      </c>
      <c r="I4" s="1">
        <v>8.4</v>
      </c>
      <c r="J4" s="2" t="s">
        <v>21</v>
      </c>
      <c r="K4" s="1">
        <v>2012</v>
      </c>
      <c r="L4" s="2" t="s">
        <v>4</v>
      </c>
      <c r="M4" s="2" t="s">
        <v>5</v>
      </c>
      <c r="O4" s="2">
        <v>3</v>
      </c>
      <c r="P4" s="2">
        <v>225</v>
      </c>
      <c r="Q4" s="4">
        <v>1.42</v>
      </c>
      <c r="R4" s="4">
        <v>0.12</v>
      </c>
      <c r="S4" s="5">
        <v>7.1</v>
      </c>
      <c r="T4" s="5">
        <v>0.8</v>
      </c>
      <c r="U4" s="7" t="s">
        <v>219</v>
      </c>
    </row>
    <row r="5" spans="1:27" x14ac:dyDescent="0.25">
      <c r="L5" s="2" t="s">
        <v>6</v>
      </c>
      <c r="M5" s="2" t="s">
        <v>5</v>
      </c>
      <c r="N5" s="2" t="s">
        <v>66</v>
      </c>
      <c r="O5" s="2">
        <v>3</v>
      </c>
      <c r="P5" s="2">
        <v>225</v>
      </c>
      <c r="Q5" s="4">
        <v>1.36</v>
      </c>
      <c r="R5" s="4">
        <v>0.1</v>
      </c>
      <c r="S5" s="5">
        <v>12.2</v>
      </c>
      <c r="T5" s="5">
        <v>0.7</v>
      </c>
    </row>
    <row r="6" spans="1:27" x14ac:dyDescent="0.25">
      <c r="L6" s="2" t="s">
        <v>7</v>
      </c>
      <c r="O6" s="2">
        <v>3</v>
      </c>
      <c r="P6" s="2">
        <v>0</v>
      </c>
      <c r="Q6" s="4">
        <v>0.51</v>
      </c>
      <c r="R6" s="4">
        <v>7.0000000000000007E-2</v>
      </c>
      <c r="S6" s="5">
        <v>8.5</v>
      </c>
      <c r="T6" s="5">
        <v>0.7</v>
      </c>
    </row>
    <row r="7" spans="1:27" x14ac:dyDescent="0.25">
      <c r="L7" s="2" t="s">
        <v>8</v>
      </c>
      <c r="M7" s="2" t="s">
        <v>97</v>
      </c>
      <c r="O7" s="2">
        <v>3</v>
      </c>
      <c r="P7" s="2">
        <v>250</v>
      </c>
      <c r="Q7" s="4">
        <v>1.5</v>
      </c>
      <c r="R7" s="4">
        <v>7.0000000000000007E-2</v>
      </c>
      <c r="S7" s="5">
        <v>15.7</v>
      </c>
      <c r="T7" s="5">
        <v>0.8</v>
      </c>
    </row>
    <row r="8" spans="1:27" x14ac:dyDescent="0.25">
      <c r="L8" s="2" t="s">
        <v>9</v>
      </c>
      <c r="M8" s="2" t="s">
        <v>5</v>
      </c>
      <c r="O8" s="2">
        <v>3</v>
      </c>
      <c r="P8" s="2">
        <v>380</v>
      </c>
      <c r="Q8" s="4">
        <v>2.59</v>
      </c>
      <c r="R8" s="4">
        <v>0.28000000000000003</v>
      </c>
      <c r="S8" s="5">
        <v>14.5</v>
      </c>
      <c r="T8" s="5">
        <v>0.5</v>
      </c>
    </row>
    <row r="9" spans="1:27" x14ac:dyDescent="0.25">
      <c r="J9" s="2" t="s">
        <v>21</v>
      </c>
      <c r="K9" s="1">
        <v>2013</v>
      </c>
      <c r="L9" s="2" t="s">
        <v>4</v>
      </c>
      <c r="M9" s="2" t="s">
        <v>5</v>
      </c>
      <c r="O9" s="2">
        <v>3</v>
      </c>
      <c r="P9" s="2">
        <v>225</v>
      </c>
      <c r="Q9" s="4">
        <v>1.7</v>
      </c>
      <c r="R9" s="4">
        <v>0.24</v>
      </c>
      <c r="S9" s="5">
        <v>9.6</v>
      </c>
      <c r="T9" s="5">
        <v>0.4</v>
      </c>
    </row>
    <row r="10" spans="1:27" x14ac:dyDescent="0.25">
      <c r="L10" s="2" t="s">
        <v>6</v>
      </c>
      <c r="M10" s="2" t="s">
        <v>5</v>
      </c>
      <c r="N10" s="2" t="s">
        <v>66</v>
      </c>
      <c r="O10" s="2">
        <v>3</v>
      </c>
      <c r="P10" s="2">
        <v>225</v>
      </c>
      <c r="Q10" s="4">
        <v>1.69</v>
      </c>
      <c r="R10" s="4">
        <v>0.17</v>
      </c>
      <c r="S10" s="5">
        <v>11.3</v>
      </c>
      <c r="T10" s="5">
        <v>0.4</v>
      </c>
    </row>
    <row r="11" spans="1:27" x14ac:dyDescent="0.25">
      <c r="L11" s="2" t="s">
        <v>10</v>
      </c>
      <c r="M11" s="2" t="s">
        <v>5</v>
      </c>
      <c r="N11" s="2" t="s">
        <v>209</v>
      </c>
      <c r="O11" s="2">
        <v>3</v>
      </c>
      <c r="P11" s="2">
        <v>225</v>
      </c>
      <c r="Q11" s="4">
        <v>1.57</v>
      </c>
      <c r="R11" s="4">
        <v>0.21</v>
      </c>
      <c r="S11" s="5">
        <v>13.3</v>
      </c>
      <c r="T11" s="5">
        <v>0.8</v>
      </c>
    </row>
    <row r="12" spans="1:27" x14ac:dyDescent="0.25">
      <c r="L12" s="2" t="s">
        <v>7</v>
      </c>
      <c r="O12" s="2">
        <v>3</v>
      </c>
      <c r="P12" s="2">
        <v>0</v>
      </c>
      <c r="Q12" s="4">
        <v>0.44</v>
      </c>
      <c r="R12" s="4">
        <v>0.12</v>
      </c>
      <c r="S12" s="5">
        <v>4.9000000000000004</v>
      </c>
      <c r="T12" s="5">
        <v>1.4</v>
      </c>
    </row>
    <row r="13" spans="1:27" x14ac:dyDescent="0.25">
      <c r="L13" s="2" t="s">
        <v>8</v>
      </c>
      <c r="M13" s="2" t="s">
        <v>97</v>
      </c>
      <c r="O13" s="2">
        <v>3</v>
      </c>
      <c r="P13" s="2">
        <v>250</v>
      </c>
      <c r="Q13" s="4">
        <v>1.69</v>
      </c>
      <c r="R13" s="4">
        <v>0.21</v>
      </c>
      <c r="S13" s="5">
        <v>15.2</v>
      </c>
      <c r="T13" s="5">
        <v>0.6</v>
      </c>
    </row>
    <row r="14" spans="1:27" x14ac:dyDescent="0.25">
      <c r="L14" s="2" t="s">
        <v>9</v>
      </c>
      <c r="M14" s="2" t="s">
        <v>5</v>
      </c>
      <c r="O14" s="2">
        <v>3</v>
      </c>
      <c r="P14" s="2">
        <v>380</v>
      </c>
      <c r="Q14" s="4">
        <v>2.67</v>
      </c>
      <c r="R14" s="4">
        <v>0.28000000000000003</v>
      </c>
      <c r="S14" s="5">
        <v>14.4</v>
      </c>
      <c r="T14" s="5">
        <v>0.6</v>
      </c>
    </row>
    <row r="15" spans="1:27" x14ac:dyDescent="0.25">
      <c r="A15" s="1" t="s">
        <v>2</v>
      </c>
      <c r="B15" s="1">
        <v>35.28</v>
      </c>
      <c r="C15" s="1">
        <v>107.88</v>
      </c>
      <c r="D15" s="1">
        <v>9.6999999999999993</v>
      </c>
      <c r="E15" s="1">
        <v>555</v>
      </c>
      <c r="F15" s="1">
        <v>8.1</v>
      </c>
      <c r="G15" s="1">
        <v>1</v>
      </c>
      <c r="H15" s="1">
        <v>1.3</v>
      </c>
      <c r="I15" s="1">
        <v>8.3000000000000007</v>
      </c>
      <c r="J15" s="2" t="s">
        <v>21</v>
      </c>
      <c r="K15" s="1">
        <v>2014</v>
      </c>
      <c r="L15" s="2" t="s">
        <v>12</v>
      </c>
      <c r="O15" s="2">
        <v>3</v>
      </c>
      <c r="P15" s="2">
        <v>0</v>
      </c>
      <c r="Q15" s="4">
        <v>0.124</v>
      </c>
      <c r="R15" s="4">
        <v>1.2E-2</v>
      </c>
      <c r="S15" s="5">
        <v>8.6</v>
      </c>
      <c r="T15" s="5">
        <v>0.4</v>
      </c>
      <c r="U15" s="7" t="s">
        <v>220</v>
      </c>
    </row>
    <row r="16" spans="1:27" x14ac:dyDescent="0.25">
      <c r="L16" s="2" t="s">
        <v>13</v>
      </c>
      <c r="M16" s="2" t="s">
        <v>5</v>
      </c>
      <c r="O16" s="2">
        <v>3</v>
      </c>
      <c r="P16" s="2">
        <v>225</v>
      </c>
      <c r="Q16" s="4">
        <v>0.44800000000000001</v>
      </c>
      <c r="R16" s="4">
        <v>3.3000000000000002E-2</v>
      </c>
      <c r="S16" s="5">
        <v>12.7</v>
      </c>
      <c r="T16" s="5">
        <v>0.1</v>
      </c>
    </row>
    <row r="17" spans="1:21" x14ac:dyDescent="0.25">
      <c r="L17" s="2" t="s">
        <v>14</v>
      </c>
      <c r="M17" s="2" t="s">
        <v>5</v>
      </c>
      <c r="O17" s="2">
        <v>3</v>
      </c>
      <c r="P17" s="2">
        <v>225</v>
      </c>
      <c r="Q17" s="4">
        <v>0.505</v>
      </c>
      <c r="R17" s="4">
        <v>2.5000000000000001E-2</v>
      </c>
      <c r="S17" s="5">
        <v>13.3</v>
      </c>
      <c r="T17" s="5">
        <v>0.1</v>
      </c>
    </row>
    <row r="18" spans="1:21" x14ac:dyDescent="0.25">
      <c r="L18" s="2" t="s">
        <v>15</v>
      </c>
      <c r="M18" s="2" t="s">
        <v>5</v>
      </c>
      <c r="O18" s="2">
        <v>3</v>
      </c>
      <c r="P18" s="2">
        <v>225</v>
      </c>
      <c r="Q18" s="4">
        <v>0.58099999999999996</v>
      </c>
      <c r="R18" s="4">
        <v>4.1000000000000002E-2</v>
      </c>
      <c r="S18" s="5">
        <v>13.5</v>
      </c>
      <c r="T18" s="5">
        <v>0.2</v>
      </c>
    </row>
    <row r="19" spans="1:21" x14ac:dyDescent="0.25">
      <c r="J19" s="2" t="s">
        <v>21</v>
      </c>
      <c r="K19" s="1">
        <v>2015</v>
      </c>
      <c r="L19" s="2" t="s">
        <v>12</v>
      </c>
      <c r="O19" s="2">
        <v>3</v>
      </c>
      <c r="P19" s="2">
        <v>0</v>
      </c>
      <c r="Q19" s="4">
        <v>0.13300000000000001</v>
      </c>
      <c r="R19" s="4">
        <v>1.2E-2</v>
      </c>
      <c r="S19" s="5">
        <v>3.6</v>
      </c>
      <c r="T19" s="5">
        <v>0.4</v>
      </c>
    </row>
    <row r="20" spans="1:21" x14ac:dyDescent="0.25">
      <c r="L20" s="2" t="s">
        <v>13</v>
      </c>
      <c r="M20" s="2" t="s">
        <v>5</v>
      </c>
      <c r="O20" s="2">
        <v>3</v>
      </c>
      <c r="P20" s="2">
        <v>225</v>
      </c>
      <c r="Q20" s="4">
        <v>0.46700000000000003</v>
      </c>
      <c r="R20" s="4">
        <v>2.7E-2</v>
      </c>
      <c r="S20" s="5">
        <v>12.1</v>
      </c>
      <c r="T20" s="5">
        <v>0.4</v>
      </c>
    </row>
    <row r="21" spans="1:21" x14ac:dyDescent="0.25">
      <c r="L21" s="2" t="s">
        <v>14</v>
      </c>
      <c r="M21" s="2" t="s">
        <v>5</v>
      </c>
      <c r="O21" s="2">
        <v>3</v>
      </c>
      <c r="P21" s="2">
        <v>225</v>
      </c>
      <c r="Q21" s="4">
        <v>0.442</v>
      </c>
      <c r="R21" s="4">
        <v>3.5999999999999997E-2</v>
      </c>
      <c r="S21" s="5">
        <v>13</v>
      </c>
      <c r="T21" s="5">
        <v>0.6</v>
      </c>
    </row>
    <row r="22" spans="1:21" x14ac:dyDescent="0.25">
      <c r="L22" s="2" t="s">
        <v>15</v>
      </c>
      <c r="M22" s="2" t="s">
        <v>5</v>
      </c>
      <c r="O22" s="2">
        <v>3</v>
      </c>
      <c r="P22" s="2">
        <v>225</v>
      </c>
      <c r="Q22" s="4">
        <v>0.45200000000000001</v>
      </c>
      <c r="R22" s="4">
        <v>2.3E-2</v>
      </c>
      <c r="S22" s="5">
        <v>13.2</v>
      </c>
      <c r="T22" s="5">
        <v>0.4</v>
      </c>
    </row>
    <row r="23" spans="1:21" x14ac:dyDescent="0.25">
      <c r="A23" s="1" t="s">
        <v>2</v>
      </c>
      <c r="B23" s="1">
        <v>35.119999999999997</v>
      </c>
      <c r="C23" s="1">
        <v>107.4</v>
      </c>
      <c r="D23" s="1">
        <v>9.4</v>
      </c>
      <c r="E23" s="1">
        <v>560</v>
      </c>
      <c r="F23" s="1">
        <v>6.5</v>
      </c>
      <c r="G23" s="1">
        <v>0.8</v>
      </c>
      <c r="H23" s="1">
        <v>1.3</v>
      </c>
      <c r="I23" s="1">
        <v>8.4</v>
      </c>
      <c r="J23" s="2" t="s">
        <v>21</v>
      </c>
      <c r="K23" s="1">
        <v>2013</v>
      </c>
      <c r="L23" s="2" t="s">
        <v>7</v>
      </c>
      <c r="O23" s="2">
        <v>3</v>
      </c>
      <c r="P23" s="2">
        <v>0</v>
      </c>
      <c r="Q23" s="4">
        <v>0.52</v>
      </c>
      <c r="R23" s="4">
        <v>0.01</v>
      </c>
      <c r="S23" s="5">
        <v>7.3</v>
      </c>
      <c r="T23" s="5">
        <v>0.94</v>
      </c>
      <c r="U23" s="7" t="s">
        <v>221</v>
      </c>
    </row>
    <row r="24" spans="1:21" x14ac:dyDescent="0.25">
      <c r="L24" s="2" t="s">
        <v>16</v>
      </c>
      <c r="M24" s="2" t="s">
        <v>5</v>
      </c>
      <c r="O24" s="2">
        <v>3</v>
      </c>
      <c r="P24" s="2">
        <v>200</v>
      </c>
      <c r="Q24" s="4">
        <v>1.42</v>
      </c>
      <c r="R24" s="4">
        <v>0.12</v>
      </c>
      <c r="S24" s="5">
        <v>10.3</v>
      </c>
      <c r="T24" s="5">
        <v>0.44</v>
      </c>
    </row>
    <row r="25" spans="1:21" x14ac:dyDescent="0.25">
      <c r="L25" s="2" t="s">
        <v>17</v>
      </c>
      <c r="M25" s="2" t="s">
        <v>5</v>
      </c>
      <c r="O25" s="2">
        <v>3</v>
      </c>
      <c r="P25" s="2">
        <v>160</v>
      </c>
      <c r="Q25" s="4">
        <v>1.01</v>
      </c>
      <c r="R25" s="4">
        <v>0.1</v>
      </c>
      <c r="S25" s="5">
        <v>10.46</v>
      </c>
      <c r="T25" s="5">
        <v>0.33</v>
      </c>
    </row>
    <row r="26" spans="1:21" x14ac:dyDescent="0.25">
      <c r="L26" s="2" t="s">
        <v>18</v>
      </c>
      <c r="M26" s="2" t="s">
        <v>5</v>
      </c>
      <c r="N26" s="2" t="s">
        <v>19</v>
      </c>
      <c r="O26" s="2">
        <v>3</v>
      </c>
      <c r="P26" s="2">
        <v>160</v>
      </c>
      <c r="Q26" s="4">
        <v>0.68</v>
      </c>
      <c r="R26" s="4">
        <v>0.06</v>
      </c>
      <c r="S26" s="5">
        <v>9.61</v>
      </c>
      <c r="T26" s="5">
        <v>0.84</v>
      </c>
    </row>
    <row r="27" spans="1:21" x14ac:dyDescent="0.25">
      <c r="L27" s="2" t="s">
        <v>20</v>
      </c>
      <c r="M27" s="2" t="s">
        <v>5</v>
      </c>
      <c r="N27" s="2" t="s">
        <v>215</v>
      </c>
      <c r="O27" s="2">
        <v>3</v>
      </c>
      <c r="P27" s="2">
        <v>160</v>
      </c>
      <c r="Q27" s="4">
        <v>0.79</v>
      </c>
      <c r="R27" s="4">
        <v>0.11</v>
      </c>
      <c r="S27" s="5">
        <v>10.1</v>
      </c>
      <c r="T27" s="5">
        <v>0.75</v>
      </c>
    </row>
    <row r="28" spans="1:21" x14ac:dyDescent="0.25">
      <c r="J28" s="2" t="s">
        <v>21</v>
      </c>
      <c r="K28" s="1">
        <v>2014</v>
      </c>
      <c r="L28" s="2" t="s">
        <v>7</v>
      </c>
      <c r="O28" s="2">
        <v>3</v>
      </c>
      <c r="P28" s="2">
        <v>0</v>
      </c>
      <c r="Q28" s="4">
        <v>0.39</v>
      </c>
      <c r="R28" s="4">
        <v>0.02</v>
      </c>
      <c r="S28" s="5">
        <v>3.99</v>
      </c>
      <c r="T28" s="5">
        <v>1.41</v>
      </c>
    </row>
    <row r="29" spans="1:21" x14ac:dyDescent="0.25">
      <c r="L29" s="2" t="s">
        <v>16</v>
      </c>
      <c r="M29" s="2" t="s">
        <v>5</v>
      </c>
      <c r="O29" s="2">
        <v>3</v>
      </c>
      <c r="P29" s="2">
        <v>200</v>
      </c>
      <c r="Q29" s="4">
        <v>1.28</v>
      </c>
      <c r="R29" s="4">
        <v>0.15</v>
      </c>
      <c r="S29" s="5">
        <v>12.23</v>
      </c>
      <c r="T29" s="5">
        <v>0.66</v>
      </c>
    </row>
    <row r="30" spans="1:21" x14ac:dyDescent="0.25">
      <c r="L30" s="2" t="s">
        <v>17</v>
      </c>
      <c r="M30" s="2" t="s">
        <v>5</v>
      </c>
      <c r="O30" s="2">
        <v>3</v>
      </c>
      <c r="P30" s="2">
        <v>160</v>
      </c>
      <c r="Q30" s="4">
        <v>0.9</v>
      </c>
      <c r="R30" s="4">
        <v>0.06</v>
      </c>
      <c r="S30" s="5">
        <v>11.63</v>
      </c>
      <c r="T30" s="5">
        <v>2.69</v>
      </c>
    </row>
    <row r="31" spans="1:21" x14ac:dyDescent="0.25">
      <c r="L31" s="2" t="s">
        <v>18</v>
      </c>
      <c r="M31" s="2" t="s">
        <v>5</v>
      </c>
      <c r="N31" s="2" t="s">
        <v>19</v>
      </c>
      <c r="O31" s="2">
        <v>3</v>
      </c>
      <c r="P31" s="2">
        <v>160</v>
      </c>
      <c r="Q31" s="4">
        <v>0.5</v>
      </c>
      <c r="R31" s="4">
        <v>7.0000000000000007E-2</v>
      </c>
      <c r="S31" s="5">
        <v>11.92</v>
      </c>
      <c r="T31" s="5">
        <v>0.94</v>
      </c>
    </row>
    <row r="32" spans="1:21" x14ac:dyDescent="0.25">
      <c r="L32" s="2" t="s">
        <v>20</v>
      </c>
      <c r="M32" s="2" t="s">
        <v>5</v>
      </c>
      <c r="N32" s="2" t="s">
        <v>215</v>
      </c>
      <c r="O32" s="2">
        <v>3</v>
      </c>
      <c r="P32" s="2">
        <v>160</v>
      </c>
      <c r="Q32" s="4">
        <v>0.77</v>
      </c>
      <c r="R32" s="4">
        <v>0.13</v>
      </c>
      <c r="S32" s="5">
        <v>11.41</v>
      </c>
      <c r="T32" s="5">
        <v>0.54</v>
      </c>
    </row>
    <row r="33" spans="1:21" x14ac:dyDescent="0.25">
      <c r="J33" s="2" t="s">
        <v>21</v>
      </c>
      <c r="K33" s="1">
        <v>2015</v>
      </c>
      <c r="L33" s="2" t="s">
        <v>7</v>
      </c>
      <c r="O33" s="2">
        <v>3</v>
      </c>
      <c r="P33" s="2">
        <v>0</v>
      </c>
      <c r="Q33" s="4">
        <v>0.63</v>
      </c>
      <c r="R33" s="4">
        <v>0.03</v>
      </c>
      <c r="S33" s="5">
        <v>2.68</v>
      </c>
      <c r="T33" s="5">
        <v>0.1</v>
      </c>
      <c r="U33" s="7" t="s">
        <v>222</v>
      </c>
    </row>
    <row r="34" spans="1:21" x14ac:dyDescent="0.25">
      <c r="L34" s="2" t="s">
        <v>16</v>
      </c>
      <c r="M34" s="2" t="s">
        <v>5</v>
      </c>
      <c r="O34" s="2">
        <v>3</v>
      </c>
      <c r="P34" s="2">
        <v>200</v>
      </c>
      <c r="Q34" s="4">
        <v>1.75</v>
      </c>
      <c r="R34" s="4">
        <v>0.05</v>
      </c>
      <c r="S34" s="5">
        <v>17.690000000000001</v>
      </c>
      <c r="T34" s="5">
        <v>0.4</v>
      </c>
    </row>
    <row r="35" spans="1:21" x14ac:dyDescent="0.25">
      <c r="L35" s="2" t="s">
        <v>17</v>
      </c>
      <c r="M35" s="2" t="s">
        <v>5</v>
      </c>
      <c r="O35" s="2">
        <v>3</v>
      </c>
      <c r="P35" s="2">
        <v>160</v>
      </c>
      <c r="Q35" s="4">
        <v>1.45</v>
      </c>
      <c r="R35" s="4">
        <v>0.1</v>
      </c>
      <c r="S35" s="5">
        <v>17.690000000000001</v>
      </c>
      <c r="T35" s="5">
        <v>0.2</v>
      </c>
    </row>
    <row r="36" spans="1:21" x14ac:dyDescent="0.25">
      <c r="L36" s="2" t="s">
        <v>18</v>
      </c>
      <c r="M36" s="2" t="s">
        <v>5</v>
      </c>
      <c r="N36" s="2" t="s">
        <v>19</v>
      </c>
      <c r="O36" s="2">
        <v>3</v>
      </c>
      <c r="P36" s="2">
        <v>160</v>
      </c>
      <c r="Q36" s="4">
        <v>1.03</v>
      </c>
      <c r="R36" s="4">
        <v>0.03</v>
      </c>
      <c r="S36" s="5">
        <v>17.600000000000001</v>
      </c>
      <c r="T36" s="5">
        <v>0.1</v>
      </c>
    </row>
    <row r="37" spans="1:21" x14ac:dyDescent="0.25">
      <c r="L37" s="2" t="s">
        <v>20</v>
      </c>
      <c r="M37" s="2" t="s">
        <v>5</v>
      </c>
      <c r="N37" s="2" t="s">
        <v>215</v>
      </c>
      <c r="O37" s="2">
        <v>3</v>
      </c>
      <c r="P37" s="2">
        <v>160</v>
      </c>
      <c r="Q37" s="4">
        <v>1.28</v>
      </c>
      <c r="R37" s="4">
        <v>0.02</v>
      </c>
      <c r="S37" s="5">
        <v>17.73</v>
      </c>
      <c r="T37" s="5">
        <v>0.2</v>
      </c>
    </row>
    <row r="38" spans="1:21" x14ac:dyDescent="0.25">
      <c r="A38" s="1" t="s">
        <v>2</v>
      </c>
      <c r="B38" s="1">
        <v>35.28</v>
      </c>
      <c r="C38" s="1">
        <v>107.88</v>
      </c>
      <c r="D38" s="1">
        <v>10.050000000000001</v>
      </c>
      <c r="E38" s="1">
        <v>510</v>
      </c>
      <c r="F38" s="1">
        <f>12.07*0.58</f>
        <v>7.0005999999999995</v>
      </c>
      <c r="G38" s="1">
        <v>0.83</v>
      </c>
      <c r="H38" s="1">
        <v>1.3</v>
      </c>
      <c r="I38" s="1">
        <v>8.27</v>
      </c>
      <c r="J38" s="2" t="s">
        <v>21</v>
      </c>
      <c r="K38" s="1">
        <v>2019</v>
      </c>
      <c r="L38" s="2" t="s">
        <v>22</v>
      </c>
      <c r="M38" s="2" t="s">
        <v>5</v>
      </c>
      <c r="O38" s="2">
        <v>3</v>
      </c>
      <c r="P38" s="2">
        <v>210</v>
      </c>
      <c r="Q38" s="4">
        <v>1.5</v>
      </c>
      <c r="R38" s="4">
        <v>0.08</v>
      </c>
      <c r="S38" s="5">
        <v>15.43</v>
      </c>
      <c r="T38" s="5">
        <v>0.3</v>
      </c>
      <c r="U38" s="7" t="s">
        <v>223</v>
      </c>
    </row>
    <row r="39" spans="1:21" x14ac:dyDescent="0.25">
      <c r="L39" s="2" t="s">
        <v>23</v>
      </c>
      <c r="M39" s="2" t="s">
        <v>5</v>
      </c>
      <c r="N39" s="2" t="s">
        <v>209</v>
      </c>
      <c r="O39" s="2">
        <v>3</v>
      </c>
      <c r="P39" s="2">
        <v>210</v>
      </c>
      <c r="Q39" s="4">
        <v>1.62</v>
      </c>
      <c r="R39" s="4">
        <v>0.06</v>
      </c>
      <c r="S39" s="5">
        <v>17.170000000000002</v>
      </c>
      <c r="T39" s="5">
        <v>0.59</v>
      </c>
    </row>
    <row r="40" spans="1:21" x14ac:dyDescent="0.25">
      <c r="L40" s="2" t="s">
        <v>24</v>
      </c>
      <c r="M40" s="2" t="s">
        <v>5</v>
      </c>
      <c r="N40" s="2" t="s">
        <v>66</v>
      </c>
      <c r="O40" s="2">
        <v>3</v>
      </c>
      <c r="P40" s="2">
        <v>210</v>
      </c>
      <c r="Q40" s="4">
        <v>1.96</v>
      </c>
      <c r="R40" s="4">
        <v>5.8000000000000003E-2</v>
      </c>
      <c r="S40" s="5">
        <v>15.07</v>
      </c>
      <c r="T40" s="5">
        <v>0.5</v>
      </c>
    </row>
    <row r="41" spans="1:21" x14ac:dyDescent="0.25">
      <c r="L41" s="2" t="s">
        <v>25</v>
      </c>
      <c r="M41" s="2" t="s">
        <v>5</v>
      </c>
      <c r="N41" s="2" t="s">
        <v>210</v>
      </c>
      <c r="O41" s="2">
        <v>3</v>
      </c>
      <c r="P41" s="2">
        <v>210</v>
      </c>
      <c r="Q41" s="4">
        <v>1.5</v>
      </c>
      <c r="R41" s="4">
        <v>0.04</v>
      </c>
      <c r="S41" s="5">
        <v>17.05</v>
      </c>
      <c r="T41" s="5">
        <v>0.53</v>
      </c>
    </row>
    <row r="42" spans="1:21" x14ac:dyDescent="0.25">
      <c r="J42" s="2" t="s">
        <v>21</v>
      </c>
      <c r="K42" s="1">
        <v>2020</v>
      </c>
      <c r="L42" s="2" t="s">
        <v>22</v>
      </c>
      <c r="M42" s="2" t="s">
        <v>5</v>
      </c>
      <c r="O42" s="2">
        <v>3</v>
      </c>
      <c r="P42" s="2">
        <v>210</v>
      </c>
      <c r="Q42" s="4">
        <v>1.71</v>
      </c>
      <c r="R42" s="4">
        <v>0.06</v>
      </c>
      <c r="S42" s="5">
        <v>12.96</v>
      </c>
      <c r="T42" s="5">
        <v>0.43</v>
      </c>
    </row>
    <row r="43" spans="1:21" x14ac:dyDescent="0.25">
      <c r="L43" s="2" t="s">
        <v>23</v>
      </c>
      <c r="M43" s="2" t="s">
        <v>5</v>
      </c>
      <c r="N43" s="2" t="s">
        <v>209</v>
      </c>
      <c r="O43" s="2">
        <v>3</v>
      </c>
      <c r="P43" s="2">
        <v>210</v>
      </c>
      <c r="Q43" s="4">
        <v>1.63</v>
      </c>
      <c r="R43" s="4">
        <v>0.09</v>
      </c>
      <c r="S43" s="5">
        <v>14.68</v>
      </c>
      <c r="T43" s="5">
        <v>0.36</v>
      </c>
    </row>
    <row r="44" spans="1:21" x14ac:dyDescent="0.25">
      <c r="L44" s="2" t="s">
        <v>24</v>
      </c>
      <c r="M44" s="2" t="s">
        <v>5</v>
      </c>
      <c r="N44" s="2" t="s">
        <v>66</v>
      </c>
      <c r="O44" s="2">
        <v>3</v>
      </c>
      <c r="P44" s="2">
        <v>210</v>
      </c>
      <c r="Q44" s="4">
        <v>2.0299999999999998</v>
      </c>
      <c r="R44" s="4">
        <v>0.16</v>
      </c>
      <c r="S44" s="5">
        <v>12.39</v>
      </c>
      <c r="T44" s="5">
        <v>0.64</v>
      </c>
    </row>
    <row r="45" spans="1:21" x14ac:dyDescent="0.25">
      <c r="L45" s="2" t="s">
        <v>25</v>
      </c>
      <c r="M45" s="2" t="s">
        <v>5</v>
      </c>
      <c r="N45" s="2" t="s">
        <v>210</v>
      </c>
      <c r="O45" s="2">
        <v>3</v>
      </c>
      <c r="P45" s="2">
        <v>210</v>
      </c>
      <c r="Q45" s="4">
        <v>1.69</v>
      </c>
      <c r="R45" s="4">
        <v>0.06</v>
      </c>
      <c r="S45" s="5">
        <v>14.34</v>
      </c>
      <c r="T45" s="5">
        <v>0.46</v>
      </c>
    </row>
    <row r="46" spans="1:21" x14ac:dyDescent="0.25">
      <c r="A46" s="1" t="s">
        <v>2</v>
      </c>
      <c r="B46" s="1">
        <v>35.28</v>
      </c>
      <c r="C46" s="1">
        <v>107.88</v>
      </c>
      <c r="D46" s="1">
        <v>9.6999999999999993</v>
      </c>
      <c r="E46" s="1">
        <v>571</v>
      </c>
      <c r="F46" s="1">
        <v>9.3699999999999992</v>
      </c>
      <c r="G46" s="1">
        <v>1.0900000000000001</v>
      </c>
      <c r="I46" s="1">
        <v>7.7</v>
      </c>
      <c r="J46" s="2" t="s">
        <v>21</v>
      </c>
      <c r="K46" s="1">
        <v>2017</v>
      </c>
      <c r="L46" s="2" t="s">
        <v>3</v>
      </c>
      <c r="M46" s="2" t="s">
        <v>5</v>
      </c>
      <c r="O46" s="2">
        <v>4</v>
      </c>
      <c r="P46" s="2">
        <v>180</v>
      </c>
      <c r="Q46" s="4">
        <v>0.84699999999999998</v>
      </c>
      <c r="R46" s="4">
        <v>0.18634000000000001</v>
      </c>
      <c r="S46" s="5">
        <v>12.32</v>
      </c>
      <c r="T46" s="5">
        <f>S46*0.17</f>
        <v>2.0944000000000003</v>
      </c>
      <c r="U46" s="7" t="s">
        <v>224</v>
      </c>
    </row>
    <row r="47" spans="1:21" x14ac:dyDescent="0.25">
      <c r="L47" s="2" t="s">
        <v>26</v>
      </c>
      <c r="M47" s="2" t="s">
        <v>5</v>
      </c>
      <c r="O47" s="2">
        <v>4</v>
      </c>
      <c r="P47" s="2">
        <v>180</v>
      </c>
      <c r="Q47" s="4">
        <v>0.69</v>
      </c>
      <c r="R47" s="4">
        <v>0.15179999999999999</v>
      </c>
      <c r="S47" s="5">
        <v>13.71</v>
      </c>
      <c r="T47" s="5">
        <f t="shared" ref="T47:T55" si="0">S47*0.17</f>
        <v>2.3307000000000002</v>
      </c>
    </row>
    <row r="48" spans="1:21" x14ac:dyDescent="0.25">
      <c r="J48" s="2" t="s">
        <v>21</v>
      </c>
      <c r="K48" s="1">
        <v>2018</v>
      </c>
      <c r="L48" s="2" t="s">
        <v>3</v>
      </c>
      <c r="M48" s="2" t="s">
        <v>5</v>
      </c>
      <c r="O48" s="2">
        <v>4</v>
      </c>
      <c r="P48" s="2">
        <v>180</v>
      </c>
      <c r="Q48" s="4">
        <v>1.1859999999999999</v>
      </c>
      <c r="R48" s="4">
        <v>0.26091999999999999</v>
      </c>
      <c r="S48" s="5">
        <v>15.64</v>
      </c>
      <c r="T48" s="5">
        <f t="shared" si="0"/>
        <v>2.6588000000000003</v>
      </c>
    </row>
    <row r="49" spans="1:21" x14ac:dyDescent="0.25">
      <c r="L49" s="2" t="s">
        <v>26</v>
      </c>
      <c r="M49" s="2" t="s">
        <v>5</v>
      </c>
      <c r="O49" s="2">
        <v>4</v>
      </c>
      <c r="P49" s="2">
        <v>180</v>
      </c>
      <c r="Q49" s="4">
        <v>0.92200000000000004</v>
      </c>
      <c r="R49" s="4">
        <v>0.20283999999999999</v>
      </c>
      <c r="S49" s="5">
        <v>18.600000000000001</v>
      </c>
      <c r="T49" s="5">
        <f t="shared" si="0"/>
        <v>3.1620000000000004</v>
      </c>
    </row>
    <row r="50" spans="1:21" x14ac:dyDescent="0.25">
      <c r="A50" s="1" t="s">
        <v>2</v>
      </c>
      <c r="B50" s="1">
        <v>35.119999999999997</v>
      </c>
      <c r="C50" s="1">
        <v>107.41</v>
      </c>
      <c r="D50" s="1">
        <v>9.4</v>
      </c>
      <c r="E50" s="1">
        <v>553</v>
      </c>
      <c r="F50" s="1">
        <v>6.84</v>
      </c>
      <c r="G50" s="1">
        <v>0.87</v>
      </c>
      <c r="J50" s="2" t="s">
        <v>21</v>
      </c>
      <c r="K50" s="1">
        <v>2020</v>
      </c>
      <c r="L50" s="2" t="s">
        <v>27</v>
      </c>
      <c r="M50" s="2" t="s">
        <v>5</v>
      </c>
      <c r="N50" s="2" t="s">
        <v>11</v>
      </c>
      <c r="O50" s="2">
        <v>3</v>
      </c>
      <c r="P50" s="2">
        <v>225</v>
      </c>
      <c r="Q50" s="4">
        <v>0.64</v>
      </c>
      <c r="R50" s="4">
        <v>0.04</v>
      </c>
      <c r="S50" s="5">
        <v>16.579999999999998</v>
      </c>
      <c r="T50" s="5">
        <f t="shared" si="0"/>
        <v>2.8186</v>
      </c>
      <c r="U50" s="7" t="s">
        <v>225</v>
      </c>
    </row>
    <row r="51" spans="1:21" x14ac:dyDescent="0.25">
      <c r="L51" s="2" t="s">
        <v>28</v>
      </c>
      <c r="M51" s="2" t="s">
        <v>5</v>
      </c>
      <c r="N51" s="2" t="s">
        <v>29</v>
      </c>
      <c r="O51" s="2">
        <v>3</v>
      </c>
      <c r="P51" s="2">
        <v>180</v>
      </c>
      <c r="Q51" s="4">
        <v>0.62</v>
      </c>
      <c r="R51" s="4">
        <v>0.03</v>
      </c>
      <c r="S51" s="5">
        <v>18</v>
      </c>
      <c r="T51" s="5">
        <f t="shared" si="0"/>
        <v>3.06</v>
      </c>
    </row>
    <row r="52" spans="1:21" x14ac:dyDescent="0.25">
      <c r="L52" s="2" t="s">
        <v>30</v>
      </c>
      <c r="M52" s="2" t="s">
        <v>5</v>
      </c>
      <c r="N52" s="2" t="s">
        <v>29</v>
      </c>
      <c r="O52" s="2">
        <v>3</v>
      </c>
      <c r="P52" s="2">
        <v>225</v>
      </c>
      <c r="Q52" s="4">
        <v>0.94</v>
      </c>
      <c r="R52" s="4">
        <v>0.04</v>
      </c>
      <c r="S52" s="5">
        <v>17.18</v>
      </c>
      <c r="T52" s="5">
        <f t="shared" si="0"/>
        <v>2.9206000000000003</v>
      </c>
    </row>
    <row r="53" spans="1:21" x14ac:dyDescent="0.25">
      <c r="J53" s="2" t="s">
        <v>21</v>
      </c>
      <c r="K53" s="1">
        <v>2021</v>
      </c>
      <c r="L53" s="2" t="s">
        <v>27</v>
      </c>
      <c r="M53" s="2" t="s">
        <v>5</v>
      </c>
      <c r="N53" s="2" t="s">
        <v>11</v>
      </c>
      <c r="O53" s="2">
        <v>3</v>
      </c>
      <c r="P53" s="2">
        <v>225</v>
      </c>
      <c r="Q53" s="4">
        <v>0.32</v>
      </c>
      <c r="R53" s="4">
        <v>2.5000000000000001E-2</v>
      </c>
      <c r="S53" s="5">
        <v>20</v>
      </c>
      <c r="T53" s="5">
        <f t="shared" si="0"/>
        <v>3.4000000000000004</v>
      </c>
    </row>
    <row r="54" spans="1:21" x14ac:dyDescent="0.25">
      <c r="L54" s="2" t="s">
        <v>28</v>
      </c>
      <c r="M54" s="2" t="s">
        <v>5</v>
      </c>
      <c r="N54" s="2" t="s">
        <v>29</v>
      </c>
      <c r="O54" s="2">
        <v>3</v>
      </c>
      <c r="P54" s="2">
        <v>180</v>
      </c>
      <c r="Q54" s="4">
        <v>0.35</v>
      </c>
      <c r="R54" s="4">
        <v>0.15</v>
      </c>
      <c r="S54" s="5">
        <v>21.41</v>
      </c>
      <c r="T54" s="5">
        <f t="shared" si="0"/>
        <v>3.6397000000000004</v>
      </c>
    </row>
    <row r="55" spans="1:21" x14ac:dyDescent="0.25">
      <c r="L55" s="2" t="s">
        <v>30</v>
      </c>
      <c r="M55" s="2" t="s">
        <v>5</v>
      </c>
      <c r="N55" s="2" t="s">
        <v>29</v>
      </c>
      <c r="O55" s="2">
        <v>3</v>
      </c>
      <c r="P55" s="2">
        <v>225</v>
      </c>
      <c r="Q55" s="4">
        <v>0.53</v>
      </c>
      <c r="R55" s="4">
        <v>0.04</v>
      </c>
      <c r="S55" s="5">
        <v>20.74</v>
      </c>
      <c r="T55" s="5">
        <f t="shared" si="0"/>
        <v>3.5257999999999998</v>
      </c>
    </row>
    <row r="56" spans="1:21" x14ac:dyDescent="0.25">
      <c r="A56" s="1" t="s">
        <v>31</v>
      </c>
      <c r="B56" s="1">
        <v>37.450000000000003</v>
      </c>
      <c r="C56" s="1">
        <v>113.12</v>
      </c>
      <c r="D56" s="1">
        <v>7.4</v>
      </c>
      <c r="E56" s="1">
        <v>480</v>
      </c>
      <c r="F56" s="1">
        <f>18.03*0.58</f>
        <v>10.4574</v>
      </c>
      <c r="G56" s="1">
        <v>0.85</v>
      </c>
      <c r="I56" s="1">
        <v>7.8</v>
      </c>
      <c r="J56" s="2" t="s">
        <v>21</v>
      </c>
      <c r="K56" s="1">
        <v>2015</v>
      </c>
      <c r="L56" s="2" t="s">
        <v>22</v>
      </c>
      <c r="M56" s="2" t="s">
        <v>5</v>
      </c>
      <c r="O56" s="2">
        <v>3</v>
      </c>
      <c r="P56" s="2">
        <v>225</v>
      </c>
      <c r="Q56" s="4">
        <v>1.56</v>
      </c>
      <c r="R56" s="4">
        <v>0.242487113</v>
      </c>
      <c r="S56" s="5">
        <v>9.4499999999999993</v>
      </c>
      <c r="T56" s="5">
        <f>0.47*SQRT(O56)</f>
        <v>0.81406387955737225</v>
      </c>
      <c r="U56" s="7" t="s">
        <v>226</v>
      </c>
    </row>
    <row r="57" spans="1:21" x14ac:dyDescent="0.25">
      <c r="L57" s="2" t="s">
        <v>32</v>
      </c>
      <c r="M57" s="2" t="s">
        <v>5</v>
      </c>
      <c r="N57" s="2" t="s">
        <v>209</v>
      </c>
      <c r="O57" s="2">
        <v>3</v>
      </c>
      <c r="P57" s="2">
        <v>225</v>
      </c>
      <c r="Q57" s="4">
        <v>1.88</v>
      </c>
      <c r="R57" s="4">
        <v>0.199185843</v>
      </c>
      <c r="S57" s="5">
        <v>10.6</v>
      </c>
      <c r="T57" s="5">
        <f>0.6*SQRT(O57)</f>
        <v>1.0392304845413263</v>
      </c>
    </row>
    <row r="58" spans="1:21" x14ac:dyDescent="0.25">
      <c r="L58" s="2" t="s">
        <v>33</v>
      </c>
      <c r="M58" s="2" t="s">
        <v>5</v>
      </c>
      <c r="N58" s="2" t="s">
        <v>209</v>
      </c>
      <c r="O58" s="2">
        <v>3</v>
      </c>
      <c r="P58" s="2">
        <v>225</v>
      </c>
      <c r="Q58" s="4">
        <v>1.88</v>
      </c>
      <c r="R58" s="4">
        <v>0.25980762099999999</v>
      </c>
      <c r="S58" s="5">
        <v>10.62</v>
      </c>
      <c r="T58" s="5">
        <f>0.53*SQRT(O58)</f>
        <v>0.91798692801150494</v>
      </c>
    </row>
    <row r="59" spans="1:21" x14ac:dyDescent="0.25">
      <c r="J59" s="2" t="s">
        <v>21</v>
      </c>
      <c r="K59" s="1">
        <v>2016</v>
      </c>
      <c r="L59" s="2" t="s">
        <v>22</v>
      </c>
      <c r="M59" s="2" t="s">
        <v>5</v>
      </c>
      <c r="O59" s="2">
        <v>3</v>
      </c>
      <c r="P59" s="2">
        <v>225</v>
      </c>
      <c r="Q59" s="4">
        <v>1.9</v>
      </c>
      <c r="R59" s="4">
        <v>0.17320508100000001</v>
      </c>
      <c r="S59" s="5">
        <v>10.050000000000001</v>
      </c>
      <c r="T59" s="5">
        <f>0.8*SQRT(O59)</f>
        <v>1.3856406460551018</v>
      </c>
    </row>
    <row r="60" spans="1:21" x14ac:dyDescent="0.25">
      <c r="L60" s="2" t="s">
        <v>32</v>
      </c>
      <c r="M60" s="2" t="s">
        <v>5</v>
      </c>
      <c r="N60" s="2" t="s">
        <v>209</v>
      </c>
      <c r="O60" s="2">
        <v>3</v>
      </c>
      <c r="P60" s="2">
        <v>225</v>
      </c>
      <c r="Q60" s="4">
        <v>2.4900000000000002</v>
      </c>
      <c r="R60" s="4">
        <v>0.43301270200000003</v>
      </c>
      <c r="S60" s="5">
        <v>12.5</v>
      </c>
      <c r="T60" s="5">
        <f>1.31*SQRT(O60)</f>
        <v>2.2689865579152291</v>
      </c>
    </row>
    <row r="61" spans="1:21" x14ac:dyDescent="0.25">
      <c r="L61" s="2" t="s">
        <v>33</v>
      </c>
      <c r="M61" s="2" t="s">
        <v>5</v>
      </c>
      <c r="N61" s="2" t="s">
        <v>209</v>
      </c>
      <c r="O61" s="2">
        <v>3</v>
      </c>
      <c r="P61" s="2">
        <v>225</v>
      </c>
      <c r="Q61" s="4">
        <v>2.0299999999999998</v>
      </c>
      <c r="R61" s="4">
        <v>0.32908965299999998</v>
      </c>
      <c r="S61" s="5">
        <v>12.12</v>
      </c>
      <c r="T61" s="5">
        <f>0.84*SQRT(O61)</f>
        <v>1.4549226783578568</v>
      </c>
    </row>
    <row r="62" spans="1:21" x14ac:dyDescent="0.25">
      <c r="J62" s="2" t="s">
        <v>21</v>
      </c>
      <c r="K62" s="1">
        <v>2017</v>
      </c>
      <c r="L62" s="2" t="s">
        <v>22</v>
      </c>
      <c r="M62" s="2" t="s">
        <v>5</v>
      </c>
      <c r="O62" s="2">
        <v>3</v>
      </c>
      <c r="P62" s="2">
        <v>225</v>
      </c>
      <c r="Q62" s="4">
        <v>1.99</v>
      </c>
      <c r="R62" s="4">
        <v>0.20091789400000001</v>
      </c>
      <c r="S62" s="5">
        <v>9.76</v>
      </c>
      <c r="T62" s="5">
        <f>0.57*SQRT(O62)</f>
        <v>0.98726896031425992</v>
      </c>
    </row>
    <row r="63" spans="1:21" x14ac:dyDescent="0.25">
      <c r="L63" s="2" t="s">
        <v>32</v>
      </c>
      <c r="M63" s="2" t="s">
        <v>5</v>
      </c>
      <c r="N63" s="2" t="s">
        <v>209</v>
      </c>
      <c r="O63" s="2">
        <v>3</v>
      </c>
      <c r="P63" s="2">
        <v>225</v>
      </c>
      <c r="Q63" s="4">
        <v>2.66</v>
      </c>
      <c r="R63" s="4">
        <v>0.467653718</v>
      </c>
      <c r="S63" s="5">
        <v>12.7</v>
      </c>
      <c r="T63" s="5">
        <f>1.4*SQRT(O63)</f>
        <v>2.4248711305964279</v>
      </c>
    </row>
    <row r="64" spans="1:21" x14ac:dyDescent="0.25">
      <c r="L64" s="2" t="s">
        <v>33</v>
      </c>
      <c r="M64" s="2" t="s">
        <v>5</v>
      </c>
      <c r="N64" s="2" t="s">
        <v>209</v>
      </c>
      <c r="O64" s="2">
        <v>3</v>
      </c>
      <c r="P64" s="2">
        <v>225</v>
      </c>
      <c r="Q64" s="4">
        <v>2.39</v>
      </c>
      <c r="R64" s="4">
        <v>0.38105117799999999</v>
      </c>
      <c r="S64" s="5">
        <v>13.2</v>
      </c>
      <c r="T64" s="5">
        <f>0.63*SQRT(O64)</f>
        <v>1.0911920087683926</v>
      </c>
    </row>
    <row r="65" spans="1:21" x14ac:dyDescent="0.25">
      <c r="J65" s="2" t="s">
        <v>21</v>
      </c>
      <c r="K65" s="1">
        <v>2018</v>
      </c>
      <c r="L65" s="2" t="s">
        <v>22</v>
      </c>
      <c r="M65" s="2" t="s">
        <v>5</v>
      </c>
      <c r="O65" s="2">
        <v>3</v>
      </c>
      <c r="P65" s="2">
        <v>225</v>
      </c>
      <c r="Q65" s="4">
        <v>2.06</v>
      </c>
      <c r="R65" s="4">
        <v>0.31176914500000003</v>
      </c>
      <c r="S65" s="5">
        <v>8.86</v>
      </c>
      <c r="T65" s="5">
        <f>0.88*SQRT(O65)</f>
        <v>1.524204710660612</v>
      </c>
    </row>
    <row r="66" spans="1:21" x14ac:dyDescent="0.25">
      <c r="L66" s="2" t="s">
        <v>32</v>
      </c>
      <c r="M66" s="2" t="s">
        <v>5</v>
      </c>
      <c r="N66" s="2" t="s">
        <v>209</v>
      </c>
      <c r="O66" s="2">
        <v>3</v>
      </c>
      <c r="P66" s="2">
        <v>225</v>
      </c>
      <c r="Q66" s="4">
        <v>2.5</v>
      </c>
      <c r="R66" s="4">
        <v>0.34641016200000002</v>
      </c>
      <c r="S66" s="5">
        <v>11.31</v>
      </c>
      <c r="T66" s="5">
        <f>1.08*SQRT(O66)</f>
        <v>1.8706148721743876</v>
      </c>
    </row>
    <row r="67" spans="1:21" x14ac:dyDescent="0.25">
      <c r="L67" s="2" t="s">
        <v>33</v>
      </c>
      <c r="M67" s="2" t="s">
        <v>5</v>
      </c>
      <c r="N67" s="2" t="s">
        <v>209</v>
      </c>
      <c r="O67" s="2">
        <v>3</v>
      </c>
      <c r="P67" s="2">
        <v>225</v>
      </c>
      <c r="Q67" s="4">
        <v>2.23</v>
      </c>
      <c r="R67" s="4">
        <v>0.41569219400000001</v>
      </c>
      <c r="S67" s="5">
        <v>12.24</v>
      </c>
      <c r="T67" s="5">
        <f>1.2*SQRT(O67)</f>
        <v>2.0784609690826525</v>
      </c>
    </row>
    <row r="68" spans="1:21" x14ac:dyDescent="0.25">
      <c r="A68" s="1" t="s">
        <v>34</v>
      </c>
      <c r="B68" s="1">
        <v>35.51</v>
      </c>
      <c r="C68" s="1">
        <v>106.48</v>
      </c>
      <c r="D68" s="1">
        <v>6.1</v>
      </c>
      <c r="E68" s="1">
        <v>430</v>
      </c>
      <c r="F68" s="1">
        <v>9.85</v>
      </c>
      <c r="G68" s="1">
        <v>0.94</v>
      </c>
      <c r="H68" s="1">
        <v>1.41</v>
      </c>
      <c r="J68" s="2" t="s">
        <v>21</v>
      </c>
      <c r="K68" s="1">
        <v>2015</v>
      </c>
      <c r="L68" s="2" t="s">
        <v>35</v>
      </c>
      <c r="M68" s="3" t="s">
        <v>211</v>
      </c>
      <c r="O68" s="2">
        <v>3</v>
      </c>
      <c r="P68" s="2">
        <v>0</v>
      </c>
      <c r="Q68" s="4">
        <v>0.85</v>
      </c>
      <c r="R68" s="4">
        <v>0.187</v>
      </c>
      <c r="S68" s="5">
        <v>2.15</v>
      </c>
      <c r="T68" s="5">
        <f t="shared" ref="T68:T84" si="1">S68*0.17</f>
        <v>0.36549999999999999</v>
      </c>
      <c r="U68" s="7" t="s">
        <v>227</v>
      </c>
    </row>
    <row r="69" spans="1:21" x14ac:dyDescent="0.25">
      <c r="F69" s="1">
        <v>9.99</v>
      </c>
      <c r="G69" s="1">
        <v>0.96</v>
      </c>
      <c r="H69" s="1">
        <v>1.41</v>
      </c>
      <c r="L69" s="2" t="s">
        <v>36</v>
      </c>
      <c r="M69" s="3" t="s">
        <v>211</v>
      </c>
      <c r="O69" s="2">
        <v>3</v>
      </c>
      <c r="P69" s="2">
        <v>150</v>
      </c>
      <c r="Q69" s="4">
        <v>2.44</v>
      </c>
      <c r="R69" s="4">
        <v>0.53680000000000005</v>
      </c>
      <c r="S69" s="5">
        <v>9.0730000000000004</v>
      </c>
      <c r="T69" s="5">
        <f t="shared" si="1"/>
        <v>1.5424100000000003</v>
      </c>
    </row>
    <row r="70" spans="1:21" x14ac:dyDescent="0.25">
      <c r="F70" s="1">
        <v>10.37</v>
      </c>
      <c r="G70" s="1">
        <v>0.96</v>
      </c>
      <c r="H70" s="1">
        <v>1.41</v>
      </c>
      <c r="L70" s="2" t="s">
        <v>37</v>
      </c>
      <c r="M70" s="3" t="s">
        <v>211</v>
      </c>
      <c r="O70" s="2">
        <v>3</v>
      </c>
      <c r="P70" s="2">
        <v>300</v>
      </c>
      <c r="Q70" s="4">
        <v>3.62</v>
      </c>
      <c r="R70" s="4">
        <v>0.7964</v>
      </c>
      <c r="S70" s="5">
        <v>9.6950000000000003</v>
      </c>
      <c r="T70" s="5">
        <f t="shared" si="1"/>
        <v>1.6481500000000002</v>
      </c>
    </row>
    <row r="71" spans="1:21" x14ac:dyDescent="0.25">
      <c r="F71" s="1">
        <v>10.59</v>
      </c>
      <c r="G71" s="1">
        <v>0.97</v>
      </c>
      <c r="H71" s="1">
        <v>1.41</v>
      </c>
      <c r="L71" s="2" t="s">
        <v>38</v>
      </c>
      <c r="M71" s="3" t="s">
        <v>211</v>
      </c>
      <c r="O71" s="2">
        <v>3</v>
      </c>
      <c r="P71" s="2">
        <v>450</v>
      </c>
      <c r="Q71" s="4">
        <v>4.28</v>
      </c>
      <c r="R71" s="4">
        <v>0.94159999999999999</v>
      </c>
      <c r="S71" s="5">
        <v>9.2260000000000009</v>
      </c>
      <c r="T71" s="5">
        <f t="shared" si="1"/>
        <v>1.5684200000000004</v>
      </c>
    </row>
    <row r="72" spans="1:21" x14ac:dyDescent="0.25">
      <c r="F72" s="1">
        <v>9.6</v>
      </c>
      <c r="G72" s="1">
        <v>0.89</v>
      </c>
      <c r="H72" s="1">
        <v>1.41</v>
      </c>
      <c r="L72" s="2" t="s">
        <v>39</v>
      </c>
      <c r="M72" s="3" t="s">
        <v>211</v>
      </c>
      <c r="N72" s="2" t="s">
        <v>209</v>
      </c>
      <c r="O72" s="2">
        <v>3</v>
      </c>
      <c r="P72" s="2">
        <v>0</v>
      </c>
      <c r="Q72" s="4">
        <v>1</v>
      </c>
      <c r="R72" s="4">
        <v>0.22</v>
      </c>
      <c r="S72" s="5">
        <v>2.5739999999999998</v>
      </c>
      <c r="T72" s="5">
        <f t="shared" si="1"/>
        <v>0.43758000000000002</v>
      </c>
    </row>
    <row r="73" spans="1:21" x14ac:dyDescent="0.25">
      <c r="F73" s="1">
        <v>9.66</v>
      </c>
      <c r="G73" s="1">
        <v>0.91</v>
      </c>
      <c r="H73" s="1">
        <v>1.41</v>
      </c>
      <c r="L73" s="2" t="s">
        <v>40</v>
      </c>
      <c r="M73" s="3" t="s">
        <v>211</v>
      </c>
      <c r="N73" s="2" t="s">
        <v>209</v>
      </c>
      <c r="O73" s="2">
        <v>3</v>
      </c>
      <c r="P73" s="2">
        <v>150</v>
      </c>
      <c r="Q73" s="4">
        <v>2.15</v>
      </c>
      <c r="R73" s="4">
        <v>0.47299999999999998</v>
      </c>
      <c r="S73" s="5">
        <v>10.298999999999999</v>
      </c>
      <c r="T73" s="5">
        <f t="shared" si="1"/>
        <v>1.7508300000000001</v>
      </c>
    </row>
    <row r="74" spans="1:21" x14ac:dyDescent="0.25">
      <c r="F74" s="1">
        <v>9.99</v>
      </c>
      <c r="G74" s="1">
        <v>0.92</v>
      </c>
      <c r="H74" s="1">
        <v>1.41</v>
      </c>
      <c r="L74" s="2" t="s">
        <v>41</v>
      </c>
      <c r="M74" s="3" t="s">
        <v>211</v>
      </c>
      <c r="N74" s="2" t="s">
        <v>209</v>
      </c>
      <c r="O74" s="2">
        <v>3</v>
      </c>
      <c r="P74" s="2">
        <v>300</v>
      </c>
      <c r="Q74" s="4">
        <v>3.5</v>
      </c>
      <c r="R74" s="4">
        <v>0.77</v>
      </c>
      <c r="S74" s="5">
        <v>10.943</v>
      </c>
      <c r="T74" s="5">
        <f t="shared" si="1"/>
        <v>1.8603100000000001</v>
      </c>
    </row>
    <row r="75" spans="1:21" x14ac:dyDescent="0.25">
      <c r="F75" s="1">
        <v>10.47</v>
      </c>
      <c r="G75" s="1">
        <v>0.96</v>
      </c>
      <c r="H75" s="1">
        <v>1.41</v>
      </c>
      <c r="L75" s="2" t="s">
        <v>42</v>
      </c>
      <c r="M75" s="3" t="s">
        <v>211</v>
      </c>
      <c r="N75" s="2" t="s">
        <v>209</v>
      </c>
      <c r="O75" s="2">
        <v>3</v>
      </c>
      <c r="P75" s="2">
        <v>450</v>
      </c>
      <c r="Q75" s="4">
        <v>4.2</v>
      </c>
      <c r="R75" s="4">
        <v>0.92400000000000004</v>
      </c>
      <c r="S75" s="5">
        <v>10.257999999999999</v>
      </c>
      <c r="T75" s="5">
        <f t="shared" si="1"/>
        <v>1.74386</v>
      </c>
    </row>
    <row r="76" spans="1:21" x14ac:dyDescent="0.25">
      <c r="J76" s="2" t="s">
        <v>21</v>
      </c>
      <c r="K76" s="1">
        <v>2016</v>
      </c>
      <c r="L76" s="2" t="s">
        <v>35</v>
      </c>
      <c r="M76" s="3" t="s">
        <v>211</v>
      </c>
      <c r="O76" s="2">
        <v>3</v>
      </c>
      <c r="P76" s="2">
        <v>0</v>
      </c>
      <c r="Q76" s="4">
        <v>0.95</v>
      </c>
      <c r="R76" s="4">
        <v>0.20899999999999999</v>
      </c>
      <c r="S76" s="5">
        <v>1.7729999999999999</v>
      </c>
      <c r="T76" s="5">
        <f t="shared" si="1"/>
        <v>0.30141000000000001</v>
      </c>
    </row>
    <row r="77" spans="1:21" x14ac:dyDescent="0.25">
      <c r="L77" s="2" t="s">
        <v>36</v>
      </c>
      <c r="M77" s="3" t="s">
        <v>211</v>
      </c>
      <c r="O77" s="2">
        <v>3</v>
      </c>
      <c r="P77" s="2">
        <v>150</v>
      </c>
      <c r="Q77" s="4">
        <v>2.85</v>
      </c>
      <c r="R77" s="4">
        <v>0.627</v>
      </c>
      <c r="S77" s="5">
        <v>6.3230000000000004</v>
      </c>
      <c r="T77" s="5">
        <f t="shared" si="1"/>
        <v>1.0749100000000003</v>
      </c>
    </row>
    <row r="78" spans="1:21" x14ac:dyDescent="0.25">
      <c r="L78" s="2" t="s">
        <v>37</v>
      </c>
      <c r="M78" s="3" t="s">
        <v>211</v>
      </c>
      <c r="O78" s="2">
        <v>3</v>
      </c>
      <c r="P78" s="2">
        <v>300</v>
      </c>
      <c r="Q78" s="4">
        <v>3.56</v>
      </c>
      <c r="R78" s="4">
        <v>0.78320000000000001</v>
      </c>
      <c r="S78" s="5">
        <v>6.7809999999999997</v>
      </c>
      <c r="T78" s="5">
        <f t="shared" si="1"/>
        <v>1.1527700000000001</v>
      </c>
    </row>
    <row r="79" spans="1:21" x14ac:dyDescent="0.25">
      <c r="L79" s="2" t="s">
        <v>38</v>
      </c>
      <c r="M79" s="3" t="s">
        <v>211</v>
      </c>
      <c r="O79" s="2">
        <v>3</v>
      </c>
      <c r="P79" s="2">
        <v>450</v>
      </c>
      <c r="Q79" s="4">
        <v>4.95</v>
      </c>
      <c r="R79" s="4">
        <v>1.089</v>
      </c>
      <c r="S79" s="5">
        <v>6.423</v>
      </c>
      <c r="T79" s="5">
        <f t="shared" si="1"/>
        <v>1.0919100000000002</v>
      </c>
    </row>
    <row r="80" spans="1:21" x14ac:dyDescent="0.25">
      <c r="L80" s="2" t="s">
        <v>39</v>
      </c>
      <c r="M80" s="3" t="s">
        <v>211</v>
      </c>
      <c r="N80" s="2" t="s">
        <v>209</v>
      </c>
      <c r="O80" s="2">
        <v>3</v>
      </c>
      <c r="P80" s="2">
        <v>0</v>
      </c>
      <c r="Q80" s="4">
        <v>1</v>
      </c>
      <c r="R80" s="4">
        <v>0.22</v>
      </c>
      <c r="S80" s="5">
        <v>1.8260000000000001</v>
      </c>
      <c r="T80" s="5">
        <f t="shared" si="1"/>
        <v>0.31042000000000003</v>
      </c>
    </row>
    <row r="81" spans="1:21" x14ac:dyDescent="0.25">
      <c r="L81" s="2" t="s">
        <v>40</v>
      </c>
      <c r="M81" s="3" t="s">
        <v>211</v>
      </c>
      <c r="N81" s="2" t="s">
        <v>209</v>
      </c>
      <c r="O81" s="2">
        <v>3</v>
      </c>
      <c r="P81" s="2">
        <v>150</v>
      </c>
      <c r="Q81" s="4">
        <v>2.33</v>
      </c>
      <c r="R81" s="4">
        <v>0.51259999999999994</v>
      </c>
      <c r="S81" s="5">
        <v>8.8819999999999997</v>
      </c>
      <c r="T81" s="5">
        <f t="shared" si="1"/>
        <v>1.5099400000000001</v>
      </c>
    </row>
    <row r="82" spans="1:21" x14ac:dyDescent="0.25">
      <c r="L82" s="2" t="s">
        <v>41</v>
      </c>
      <c r="M82" s="3" t="s">
        <v>211</v>
      </c>
      <c r="N82" s="2" t="s">
        <v>209</v>
      </c>
      <c r="O82" s="2">
        <v>3</v>
      </c>
      <c r="P82" s="2">
        <v>300</v>
      </c>
      <c r="Q82" s="4">
        <v>2.95</v>
      </c>
      <c r="R82" s="4">
        <v>0.64900000000000002</v>
      </c>
      <c r="S82" s="5">
        <v>9.3670000000000009</v>
      </c>
      <c r="T82" s="5">
        <f t="shared" si="1"/>
        <v>1.5923900000000002</v>
      </c>
    </row>
    <row r="83" spans="1:21" x14ac:dyDescent="0.25">
      <c r="L83" s="2" t="s">
        <v>42</v>
      </c>
      <c r="M83" s="3" t="s">
        <v>211</v>
      </c>
      <c r="N83" s="2" t="s">
        <v>209</v>
      </c>
      <c r="O83" s="2">
        <v>3</v>
      </c>
      <c r="P83" s="2">
        <v>450</v>
      </c>
      <c r="Q83" s="4">
        <v>3.86</v>
      </c>
      <c r="R83" s="4">
        <v>0.84919999999999995</v>
      </c>
      <c r="S83" s="5">
        <v>8.9169999999999998</v>
      </c>
      <c r="T83" s="5">
        <f t="shared" si="1"/>
        <v>1.5158900000000002</v>
      </c>
    </row>
    <row r="84" spans="1:21" x14ac:dyDescent="0.25">
      <c r="J84" s="2" t="s">
        <v>21</v>
      </c>
      <c r="K84" s="1">
        <v>2017</v>
      </c>
      <c r="L84" s="2" t="s">
        <v>35</v>
      </c>
      <c r="M84" s="3" t="s">
        <v>211</v>
      </c>
      <c r="O84" s="2">
        <v>3</v>
      </c>
      <c r="P84" s="2">
        <v>0</v>
      </c>
      <c r="Q84" s="4">
        <v>0.57999999999999996</v>
      </c>
      <c r="R84" s="4">
        <v>0.12759999999999999</v>
      </c>
      <c r="S84" s="5">
        <v>1.294</v>
      </c>
      <c r="T84" s="5">
        <f t="shared" si="1"/>
        <v>0.21998000000000001</v>
      </c>
    </row>
    <row r="85" spans="1:21" x14ac:dyDescent="0.25">
      <c r="L85" s="2" t="s">
        <v>36</v>
      </c>
      <c r="M85" s="3" t="s">
        <v>211</v>
      </c>
      <c r="O85" s="2">
        <v>3</v>
      </c>
      <c r="P85" s="2">
        <v>150</v>
      </c>
      <c r="Q85" s="4">
        <v>1.79</v>
      </c>
      <c r="R85" s="4">
        <v>0.39379999999999998</v>
      </c>
    </row>
    <row r="86" spans="1:21" x14ac:dyDescent="0.25">
      <c r="L86" s="2" t="s">
        <v>37</v>
      </c>
      <c r="M86" s="3" t="s">
        <v>211</v>
      </c>
      <c r="O86" s="2">
        <v>3</v>
      </c>
      <c r="P86" s="2">
        <v>300</v>
      </c>
      <c r="Q86" s="4">
        <v>2.89</v>
      </c>
      <c r="R86" s="4">
        <v>0.63580000000000003</v>
      </c>
    </row>
    <row r="87" spans="1:21" x14ac:dyDescent="0.25">
      <c r="L87" s="2" t="s">
        <v>38</v>
      </c>
      <c r="M87" s="3" t="s">
        <v>211</v>
      </c>
      <c r="O87" s="2">
        <v>3</v>
      </c>
      <c r="P87" s="2">
        <v>450</v>
      </c>
      <c r="Q87" s="4">
        <v>3.42</v>
      </c>
      <c r="R87" s="4">
        <v>0.75239999999999996</v>
      </c>
    </row>
    <row r="88" spans="1:21" x14ac:dyDescent="0.25">
      <c r="L88" s="2" t="s">
        <v>39</v>
      </c>
      <c r="M88" s="3" t="s">
        <v>211</v>
      </c>
      <c r="N88" s="2" t="s">
        <v>209</v>
      </c>
      <c r="O88" s="2">
        <v>3</v>
      </c>
      <c r="P88" s="2">
        <v>0</v>
      </c>
      <c r="Q88" s="4">
        <v>0.6</v>
      </c>
      <c r="R88" s="4">
        <v>0.13200000000000001</v>
      </c>
      <c r="S88" s="5">
        <v>1.6879999999999999</v>
      </c>
      <c r="T88" s="5">
        <f t="shared" ref="T88" si="2">S88*0.17</f>
        <v>0.28695999999999999</v>
      </c>
    </row>
    <row r="89" spans="1:21" x14ac:dyDescent="0.25">
      <c r="L89" s="2" t="s">
        <v>40</v>
      </c>
      <c r="M89" s="3" t="s">
        <v>211</v>
      </c>
      <c r="N89" s="2" t="s">
        <v>209</v>
      </c>
      <c r="O89" s="2">
        <v>3</v>
      </c>
      <c r="P89" s="2">
        <v>150</v>
      </c>
      <c r="Q89" s="4">
        <v>1.75</v>
      </c>
      <c r="R89" s="4">
        <v>0.38500000000000001</v>
      </c>
    </row>
    <row r="90" spans="1:21" x14ac:dyDescent="0.25">
      <c r="L90" s="2" t="s">
        <v>41</v>
      </c>
      <c r="M90" s="3" t="s">
        <v>211</v>
      </c>
      <c r="N90" s="2" t="s">
        <v>209</v>
      </c>
      <c r="O90" s="2">
        <v>3</v>
      </c>
      <c r="P90" s="2">
        <v>300</v>
      </c>
      <c r="Q90" s="4">
        <v>2.5499999999999998</v>
      </c>
      <c r="R90" s="4">
        <v>0.56100000000000005</v>
      </c>
    </row>
    <row r="91" spans="1:21" x14ac:dyDescent="0.25">
      <c r="L91" s="2" t="s">
        <v>42</v>
      </c>
      <c r="M91" s="3" t="s">
        <v>211</v>
      </c>
      <c r="N91" s="2" t="s">
        <v>209</v>
      </c>
      <c r="O91" s="2">
        <v>3</v>
      </c>
      <c r="P91" s="2">
        <v>450</v>
      </c>
      <c r="Q91" s="4">
        <v>3.15</v>
      </c>
      <c r="R91" s="4">
        <v>0.69299999999999995</v>
      </c>
    </row>
    <row r="92" spans="1:21" x14ac:dyDescent="0.25">
      <c r="A92" s="1" t="s">
        <v>34</v>
      </c>
      <c r="B92" s="1">
        <v>35.51</v>
      </c>
      <c r="C92" s="1">
        <v>106.48</v>
      </c>
      <c r="D92" s="1">
        <v>8.1</v>
      </c>
      <c r="E92" s="1">
        <v>410</v>
      </c>
      <c r="F92" s="1">
        <v>8.1999999999999993</v>
      </c>
      <c r="G92" s="1">
        <v>1.07</v>
      </c>
      <c r="I92" s="1">
        <v>7.6</v>
      </c>
      <c r="J92" s="2" t="s">
        <v>21</v>
      </c>
      <c r="K92" s="1">
        <v>2018</v>
      </c>
      <c r="L92" s="2" t="s">
        <v>22</v>
      </c>
      <c r="M92" s="2" t="s">
        <v>5</v>
      </c>
      <c r="O92" s="2">
        <v>3</v>
      </c>
      <c r="P92" s="2">
        <v>285</v>
      </c>
      <c r="Q92" s="4">
        <v>0.74454545500000002</v>
      </c>
      <c r="R92" s="4">
        <v>0.04</v>
      </c>
      <c r="S92" s="5">
        <v>13.6</v>
      </c>
      <c r="T92" s="5">
        <f t="shared" ref="T92:T109" si="3">S92*0.17</f>
        <v>2.3120000000000003</v>
      </c>
      <c r="U92" s="7" t="s">
        <v>228</v>
      </c>
    </row>
    <row r="93" spans="1:21" x14ac:dyDescent="0.25">
      <c r="L93" s="2" t="s">
        <v>43</v>
      </c>
      <c r="M93" s="2" t="s">
        <v>5</v>
      </c>
      <c r="N93" s="2" t="s">
        <v>44</v>
      </c>
      <c r="O93" s="2">
        <v>3</v>
      </c>
      <c r="P93" s="2">
        <v>285</v>
      </c>
      <c r="Q93" s="4">
        <v>0.67454545499999996</v>
      </c>
      <c r="R93" s="4">
        <v>0.11</v>
      </c>
      <c r="S93" s="5">
        <v>14</v>
      </c>
      <c r="T93" s="5">
        <f t="shared" si="3"/>
        <v>2.3800000000000003</v>
      </c>
    </row>
    <row r="94" spans="1:21" x14ac:dyDescent="0.25">
      <c r="L94" s="2" t="s">
        <v>45</v>
      </c>
      <c r="M94" s="2" t="s">
        <v>5</v>
      </c>
      <c r="N94" s="2" t="s">
        <v>44</v>
      </c>
      <c r="O94" s="2">
        <v>3</v>
      </c>
      <c r="P94" s="2">
        <v>285</v>
      </c>
      <c r="Q94" s="4">
        <v>0.63636363600000001</v>
      </c>
      <c r="R94" s="4">
        <v>0.02</v>
      </c>
      <c r="S94" s="5">
        <v>14.1</v>
      </c>
      <c r="T94" s="5">
        <f t="shared" si="3"/>
        <v>2.3970000000000002</v>
      </c>
    </row>
    <row r="95" spans="1:21" x14ac:dyDescent="0.25">
      <c r="L95" s="2" t="s">
        <v>23</v>
      </c>
      <c r="M95" s="2" t="s">
        <v>5</v>
      </c>
      <c r="N95" s="2" t="s">
        <v>209</v>
      </c>
      <c r="O95" s="2">
        <v>3</v>
      </c>
      <c r="P95" s="2">
        <v>285</v>
      </c>
      <c r="Q95" s="4">
        <v>0.91636363600000004</v>
      </c>
      <c r="R95" s="4">
        <v>0.06</v>
      </c>
      <c r="S95" s="5">
        <v>15.3</v>
      </c>
      <c r="T95" s="5">
        <f t="shared" si="3"/>
        <v>2.6010000000000004</v>
      </c>
    </row>
    <row r="96" spans="1:21" x14ac:dyDescent="0.25">
      <c r="L96" s="2" t="s">
        <v>46</v>
      </c>
      <c r="M96" s="2" t="s">
        <v>5</v>
      </c>
      <c r="N96" s="2" t="s">
        <v>47</v>
      </c>
      <c r="O96" s="2">
        <v>3</v>
      </c>
      <c r="P96" s="2">
        <v>285</v>
      </c>
      <c r="Q96" s="4">
        <v>0.83363636399999996</v>
      </c>
      <c r="R96" s="4">
        <v>0.06</v>
      </c>
      <c r="S96" s="5">
        <v>15.4</v>
      </c>
      <c r="T96" s="5">
        <f t="shared" si="3"/>
        <v>2.6180000000000003</v>
      </c>
    </row>
    <row r="97" spans="1:21" x14ac:dyDescent="0.25">
      <c r="L97" s="2" t="s">
        <v>48</v>
      </c>
      <c r="M97" s="2" t="s">
        <v>5</v>
      </c>
      <c r="N97" s="2" t="s">
        <v>47</v>
      </c>
      <c r="O97" s="2">
        <v>3</v>
      </c>
      <c r="P97" s="2">
        <v>285</v>
      </c>
      <c r="Q97" s="4">
        <v>0.75090909100000003</v>
      </c>
      <c r="R97" s="4">
        <v>0.05</v>
      </c>
      <c r="S97" s="5">
        <v>15.9</v>
      </c>
      <c r="T97" s="5">
        <f t="shared" si="3"/>
        <v>2.7030000000000003</v>
      </c>
    </row>
    <row r="98" spans="1:21" x14ac:dyDescent="0.25">
      <c r="J98" s="2" t="s">
        <v>21</v>
      </c>
      <c r="K98" s="1">
        <v>2019</v>
      </c>
      <c r="L98" s="2" t="s">
        <v>22</v>
      </c>
      <c r="M98" s="2" t="s">
        <v>5</v>
      </c>
      <c r="O98" s="2">
        <v>3</v>
      </c>
      <c r="P98" s="2">
        <v>285</v>
      </c>
      <c r="Q98" s="4">
        <v>1.151818182</v>
      </c>
      <c r="R98" s="4">
        <v>0.04</v>
      </c>
      <c r="S98" s="5">
        <v>11.4</v>
      </c>
      <c r="T98" s="5">
        <f t="shared" si="3"/>
        <v>1.9380000000000002</v>
      </c>
    </row>
    <row r="99" spans="1:21" x14ac:dyDescent="0.25">
      <c r="L99" s="2" t="s">
        <v>43</v>
      </c>
      <c r="M99" s="2" t="s">
        <v>5</v>
      </c>
      <c r="N99" s="2" t="s">
        <v>44</v>
      </c>
      <c r="O99" s="2">
        <v>3</v>
      </c>
      <c r="P99" s="2">
        <v>285</v>
      </c>
      <c r="Q99" s="4">
        <v>1.0627272729999999</v>
      </c>
      <c r="R99" s="4">
        <v>0.03</v>
      </c>
      <c r="S99" s="5">
        <v>11.8</v>
      </c>
      <c r="T99" s="5">
        <f t="shared" si="3"/>
        <v>2.0060000000000002</v>
      </c>
    </row>
    <row r="100" spans="1:21" x14ac:dyDescent="0.25">
      <c r="L100" s="2" t="s">
        <v>45</v>
      </c>
      <c r="M100" s="2" t="s">
        <v>5</v>
      </c>
      <c r="N100" s="2" t="s">
        <v>44</v>
      </c>
      <c r="O100" s="2">
        <v>3</v>
      </c>
      <c r="P100" s="2">
        <v>285</v>
      </c>
      <c r="Q100" s="4">
        <v>0.91636363600000004</v>
      </c>
      <c r="R100" s="4">
        <v>4.8000000000000001E-2</v>
      </c>
      <c r="S100" s="5">
        <v>12.2</v>
      </c>
      <c r="T100" s="5">
        <f t="shared" si="3"/>
        <v>2.0739999999999998</v>
      </c>
    </row>
    <row r="101" spans="1:21" x14ac:dyDescent="0.25">
      <c r="L101" s="2" t="s">
        <v>23</v>
      </c>
      <c r="M101" s="2" t="s">
        <v>5</v>
      </c>
      <c r="N101" s="2" t="s">
        <v>209</v>
      </c>
      <c r="O101" s="2">
        <v>3</v>
      </c>
      <c r="P101" s="2">
        <v>285</v>
      </c>
      <c r="Q101" s="4">
        <v>1.4445454550000001</v>
      </c>
      <c r="R101" s="4">
        <v>7.0000000000000007E-2</v>
      </c>
      <c r="S101" s="5">
        <v>14</v>
      </c>
      <c r="T101" s="5">
        <f t="shared" si="3"/>
        <v>2.3800000000000003</v>
      </c>
    </row>
    <row r="102" spans="1:21" x14ac:dyDescent="0.25">
      <c r="L102" s="2" t="s">
        <v>46</v>
      </c>
      <c r="M102" s="2" t="s">
        <v>5</v>
      </c>
      <c r="N102" s="2" t="s">
        <v>47</v>
      </c>
      <c r="O102" s="2">
        <v>3</v>
      </c>
      <c r="P102" s="2">
        <v>285</v>
      </c>
      <c r="Q102" s="4">
        <v>1.3109090910000001</v>
      </c>
      <c r="R102" s="4">
        <v>0.11</v>
      </c>
      <c r="S102" s="5">
        <v>14.1</v>
      </c>
      <c r="T102" s="5">
        <f t="shared" si="3"/>
        <v>2.3970000000000002</v>
      </c>
    </row>
    <row r="103" spans="1:21" x14ac:dyDescent="0.25">
      <c r="L103" s="2" t="s">
        <v>48</v>
      </c>
      <c r="M103" s="2" t="s">
        <v>5</v>
      </c>
      <c r="N103" s="2" t="s">
        <v>47</v>
      </c>
      <c r="O103" s="2">
        <v>3</v>
      </c>
      <c r="P103" s="2">
        <v>285</v>
      </c>
      <c r="Q103" s="4">
        <v>1.0372727269999999</v>
      </c>
      <c r="R103" s="4">
        <v>0.08</v>
      </c>
      <c r="S103" s="5">
        <v>14.8</v>
      </c>
      <c r="T103" s="5">
        <f t="shared" si="3"/>
        <v>2.5160000000000005</v>
      </c>
    </row>
    <row r="104" spans="1:21" x14ac:dyDescent="0.25">
      <c r="J104" s="2" t="s">
        <v>21</v>
      </c>
      <c r="K104" s="1">
        <v>2020</v>
      </c>
      <c r="L104" s="2" t="s">
        <v>22</v>
      </c>
      <c r="M104" s="2" t="s">
        <v>5</v>
      </c>
      <c r="O104" s="2">
        <v>3</v>
      </c>
      <c r="P104" s="2">
        <v>285</v>
      </c>
      <c r="Q104" s="4">
        <v>0.87818181799999995</v>
      </c>
      <c r="R104" s="4">
        <v>0.08</v>
      </c>
      <c r="S104" s="5">
        <v>10.1</v>
      </c>
      <c r="T104" s="5">
        <f t="shared" si="3"/>
        <v>1.7170000000000001</v>
      </c>
    </row>
    <row r="105" spans="1:21" x14ac:dyDescent="0.25">
      <c r="L105" s="2" t="s">
        <v>43</v>
      </c>
      <c r="M105" s="2" t="s">
        <v>5</v>
      </c>
      <c r="N105" s="2" t="s">
        <v>44</v>
      </c>
      <c r="O105" s="2">
        <v>3</v>
      </c>
      <c r="P105" s="2">
        <v>285</v>
      </c>
      <c r="Q105" s="4">
        <v>0.80181818199999999</v>
      </c>
      <c r="R105" s="4">
        <v>0.06</v>
      </c>
      <c r="S105" s="5">
        <v>10.7</v>
      </c>
      <c r="T105" s="5">
        <f t="shared" si="3"/>
        <v>1.819</v>
      </c>
    </row>
    <row r="106" spans="1:21" x14ac:dyDescent="0.25">
      <c r="L106" s="2" t="s">
        <v>45</v>
      </c>
      <c r="M106" s="2" t="s">
        <v>5</v>
      </c>
      <c r="N106" s="2" t="s">
        <v>44</v>
      </c>
      <c r="O106" s="2">
        <v>3</v>
      </c>
      <c r="P106" s="2">
        <v>285</v>
      </c>
      <c r="Q106" s="4">
        <v>0.71909090899999994</v>
      </c>
      <c r="R106" s="4">
        <v>0.04</v>
      </c>
      <c r="S106" s="5">
        <v>11.4</v>
      </c>
      <c r="T106" s="5">
        <f t="shared" si="3"/>
        <v>1.9380000000000002</v>
      </c>
    </row>
    <row r="107" spans="1:21" x14ac:dyDescent="0.25">
      <c r="L107" s="2" t="s">
        <v>23</v>
      </c>
      <c r="M107" s="2" t="s">
        <v>5</v>
      </c>
      <c r="N107" s="2" t="s">
        <v>209</v>
      </c>
      <c r="O107" s="2">
        <v>3</v>
      </c>
      <c r="P107" s="2">
        <v>285</v>
      </c>
      <c r="Q107" s="4">
        <v>1.0245454549999999</v>
      </c>
      <c r="R107" s="4">
        <v>0.06</v>
      </c>
      <c r="S107" s="5">
        <v>13.3</v>
      </c>
      <c r="T107" s="5">
        <f t="shared" si="3"/>
        <v>2.2610000000000001</v>
      </c>
    </row>
    <row r="108" spans="1:21" x14ac:dyDescent="0.25">
      <c r="L108" s="2" t="s">
        <v>46</v>
      </c>
      <c r="M108" s="2" t="s">
        <v>5</v>
      </c>
      <c r="N108" s="2" t="s">
        <v>47</v>
      </c>
      <c r="O108" s="2">
        <v>3</v>
      </c>
      <c r="P108" s="2">
        <v>285</v>
      </c>
      <c r="Q108" s="4">
        <v>0.89727272700000005</v>
      </c>
      <c r="R108" s="4">
        <v>4.3999999999999997E-2</v>
      </c>
      <c r="S108" s="5">
        <v>13.8</v>
      </c>
      <c r="T108" s="5">
        <f t="shared" si="3"/>
        <v>2.3460000000000001</v>
      </c>
    </row>
    <row r="109" spans="1:21" x14ac:dyDescent="0.25">
      <c r="L109" s="2" t="s">
        <v>48</v>
      </c>
      <c r="M109" s="2" t="s">
        <v>5</v>
      </c>
      <c r="N109" s="2" t="s">
        <v>47</v>
      </c>
      <c r="O109" s="2">
        <v>3</v>
      </c>
      <c r="P109" s="2">
        <v>285</v>
      </c>
      <c r="Q109" s="4">
        <v>0.72545454499999995</v>
      </c>
      <c r="R109" s="4">
        <v>7.0000000000000007E-2</v>
      </c>
      <c r="S109" s="5">
        <v>14.6</v>
      </c>
      <c r="T109" s="5">
        <f t="shared" si="3"/>
        <v>2.4820000000000002</v>
      </c>
    </row>
    <row r="110" spans="1:21" x14ac:dyDescent="0.25">
      <c r="A110" s="1" t="s">
        <v>34</v>
      </c>
      <c r="B110" s="1">
        <v>35.79</v>
      </c>
      <c r="C110" s="1">
        <v>106.45</v>
      </c>
      <c r="D110" s="1">
        <v>8.1</v>
      </c>
      <c r="E110" s="1">
        <v>430</v>
      </c>
      <c r="F110" s="1">
        <v>8.6999999999999993</v>
      </c>
      <c r="G110" s="1">
        <v>1.2</v>
      </c>
      <c r="H110" s="1">
        <v>1.3</v>
      </c>
      <c r="I110" s="1">
        <v>8.4</v>
      </c>
      <c r="J110" s="2" t="s">
        <v>21</v>
      </c>
      <c r="K110" s="1">
        <v>2020</v>
      </c>
      <c r="L110" s="2" t="s">
        <v>49</v>
      </c>
      <c r="M110" s="2" t="s">
        <v>5</v>
      </c>
      <c r="N110" s="2" t="s">
        <v>47</v>
      </c>
      <c r="O110" s="2">
        <v>3</v>
      </c>
      <c r="P110" s="2">
        <v>300</v>
      </c>
      <c r="Q110" s="4">
        <v>0.98</v>
      </c>
      <c r="R110" s="4">
        <v>0.1</v>
      </c>
      <c r="S110" s="5">
        <v>12.8</v>
      </c>
      <c r="T110" s="5">
        <v>0.48</v>
      </c>
      <c r="U110" s="7" t="s">
        <v>229</v>
      </c>
    </row>
    <row r="111" spans="1:21" x14ac:dyDescent="0.25">
      <c r="L111" s="2" t="s">
        <v>50</v>
      </c>
      <c r="M111" s="2" t="s">
        <v>5</v>
      </c>
      <c r="N111" s="2" t="s">
        <v>47</v>
      </c>
      <c r="O111" s="2">
        <v>3</v>
      </c>
      <c r="P111" s="2">
        <v>300</v>
      </c>
      <c r="Q111" s="4">
        <v>0.99</v>
      </c>
      <c r="R111" s="4">
        <v>0.04</v>
      </c>
      <c r="S111" s="5">
        <v>11.7</v>
      </c>
      <c r="T111" s="5">
        <v>0.13</v>
      </c>
    </row>
    <row r="112" spans="1:21" x14ac:dyDescent="0.25">
      <c r="L112" s="2" t="s">
        <v>51</v>
      </c>
      <c r="M112" s="2" t="s">
        <v>5</v>
      </c>
      <c r="N112" s="2" t="s">
        <v>47</v>
      </c>
      <c r="O112" s="2">
        <v>3</v>
      </c>
      <c r="P112" s="2">
        <v>300</v>
      </c>
      <c r="Q112" s="4">
        <v>1.08</v>
      </c>
      <c r="R112" s="4">
        <v>7.0000000000000007E-2</v>
      </c>
      <c r="S112" s="5">
        <v>11.1</v>
      </c>
      <c r="T112" s="5">
        <v>0.56000000000000005</v>
      </c>
    </row>
    <row r="113" spans="1:21" x14ac:dyDescent="0.25">
      <c r="L113" s="2" t="s">
        <v>52</v>
      </c>
      <c r="M113" s="2" t="s">
        <v>5</v>
      </c>
      <c r="N113" s="2" t="s">
        <v>209</v>
      </c>
      <c r="O113" s="2">
        <v>3</v>
      </c>
      <c r="P113" s="2">
        <v>300</v>
      </c>
      <c r="Q113" s="4">
        <v>1.1200000000000001</v>
      </c>
      <c r="R113" s="4">
        <v>0.09</v>
      </c>
      <c r="S113" s="5">
        <v>10.3</v>
      </c>
      <c r="T113" s="5">
        <v>0.55000000000000004</v>
      </c>
    </row>
    <row r="114" spans="1:21" x14ac:dyDescent="0.25">
      <c r="L114" s="2" t="s">
        <v>53</v>
      </c>
      <c r="M114" s="2" t="s">
        <v>5</v>
      </c>
      <c r="N114" s="2" t="s">
        <v>44</v>
      </c>
      <c r="O114" s="2">
        <v>3</v>
      </c>
      <c r="P114" s="2">
        <v>300</v>
      </c>
      <c r="Q114" s="4">
        <v>0.94</v>
      </c>
      <c r="R114" s="4">
        <v>0.11</v>
      </c>
      <c r="S114" s="5">
        <v>9.1999999999999993</v>
      </c>
      <c r="T114" s="5">
        <v>0.65</v>
      </c>
    </row>
    <row r="115" spans="1:21" x14ac:dyDescent="0.25">
      <c r="L115" s="2" t="s">
        <v>53</v>
      </c>
      <c r="M115" s="2" t="s">
        <v>5</v>
      </c>
      <c r="N115" s="2" t="s">
        <v>44</v>
      </c>
      <c r="O115" s="2">
        <v>3</v>
      </c>
      <c r="P115" s="2">
        <v>300</v>
      </c>
      <c r="Q115" s="4">
        <v>0.96</v>
      </c>
      <c r="R115" s="4">
        <v>7.0000000000000007E-2</v>
      </c>
      <c r="S115" s="5">
        <v>8.4</v>
      </c>
      <c r="T115" s="5">
        <v>0.32</v>
      </c>
    </row>
    <row r="116" spans="1:21" x14ac:dyDescent="0.25">
      <c r="L116" s="2" t="s">
        <v>54</v>
      </c>
      <c r="M116" s="2" t="s">
        <v>5</v>
      </c>
      <c r="N116" s="2" t="s">
        <v>44</v>
      </c>
      <c r="O116" s="2">
        <v>3</v>
      </c>
      <c r="P116" s="2">
        <v>300</v>
      </c>
      <c r="Q116" s="4">
        <v>1.04</v>
      </c>
      <c r="R116" s="4">
        <v>0.08</v>
      </c>
      <c r="S116" s="5">
        <v>7.8</v>
      </c>
      <c r="T116" s="5">
        <v>0.68</v>
      </c>
    </row>
    <row r="117" spans="1:21" x14ac:dyDescent="0.25">
      <c r="L117" s="2" t="s">
        <v>55</v>
      </c>
      <c r="M117" s="2" t="s">
        <v>5</v>
      </c>
      <c r="O117" s="2">
        <v>3</v>
      </c>
      <c r="P117" s="2">
        <v>300</v>
      </c>
      <c r="Q117" s="4">
        <v>1.07</v>
      </c>
      <c r="R117" s="4">
        <v>0.02</v>
      </c>
      <c r="S117" s="5">
        <v>7.6</v>
      </c>
      <c r="T117" s="5">
        <v>0.25</v>
      </c>
    </row>
    <row r="118" spans="1:21" x14ac:dyDescent="0.25">
      <c r="J118" s="2" t="s">
        <v>21</v>
      </c>
      <c r="K118" s="1">
        <v>2021</v>
      </c>
      <c r="L118" s="2" t="s">
        <v>49</v>
      </c>
      <c r="M118" s="2" t="s">
        <v>5</v>
      </c>
      <c r="N118" s="2" t="s">
        <v>47</v>
      </c>
      <c r="O118" s="2">
        <v>3</v>
      </c>
      <c r="P118" s="2">
        <v>300</v>
      </c>
      <c r="Q118" s="4">
        <v>0.81</v>
      </c>
      <c r="R118" s="4">
        <v>0.09</v>
      </c>
      <c r="S118" s="5">
        <v>11.8</v>
      </c>
      <c r="T118" s="5">
        <v>0.15</v>
      </c>
    </row>
    <row r="119" spans="1:21" x14ac:dyDescent="0.25">
      <c r="L119" s="2" t="s">
        <v>50</v>
      </c>
      <c r="M119" s="2" t="s">
        <v>5</v>
      </c>
      <c r="N119" s="2" t="s">
        <v>47</v>
      </c>
      <c r="O119" s="2">
        <v>3</v>
      </c>
      <c r="P119" s="2">
        <v>300</v>
      </c>
      <c r="Q119" s="4">
        <v>0.82</v>
      </c>
      <c r="R119" s="4">
        <v>0.05</v>
      </c>
      <c r="S119" s="5">
        <v>11.3</v>
      </c>
      <c r="T119" s="5">
        <v>0.23</v>
      </c>
    </row>
    <row r="120" spans="1:21" x14ac:dyDescent="0.25">
      <c r="L120" s="2" t="s">
        <v>51</v>
      </c>
      <c r="M120" s="2" t="s">
        <v>5</v>
      </c>
      <c r="N120" s="2" t="s">
        <v>47</v>
      </c>
      <c r="O120" s="2">
        <v>3</v>
      </c>
      <c r="P120" s="2">
        <v>300</v>
      </c>
      <c r="Q120" s="4">
        <v>0.82</v>
      </c>
      <c r="R120" s="4">
        <v>5.3999999999999999E-2</v>
      </c>
      <c r="S120" s="5">
        <v>10.4</v>
      </c>
      <c r="T120" s="5">
        <v>0.34</v>
      </c>
    </row>
    <row r="121" spans="1:21" x14ac:dyDescent="0.25">
      <c r="L121" s="2" t="s">
        <v>52</v>
      </c>
      <c r="M121" s="2" t="s">
        <v>5</v>
      </c>
      <c r="N121" s="2" t="s">
        <v>209</v>
      </c>
      <c r="O121" s="2">
        <v>3</v>
      </c>
      <c r="P121" s="2">
        <v>300</v>
      </c>
      <c r="Q121" s="4">
        <v>0.88</v>
      </c>
      <c r="R121" s="4">
        <v>7.0000000000000007E-2</v>
      </c>
      <c r="S121" s="5">
        <v>10.199999999999999</v>
      </c>
      <c r="T121" s="5">
        <v>0.4</v>
      </c>
    </row>
    <row r="122" spans="1:21" x14ac:dyDescent="0.25">
      <c r="L122" s="2" t="s">
        <v>53</v>
      </c>
      <c r="M122" s="2" t="s">
        <v>5</v>
      </c>
      <c r="N122" s="2" t="s">
        <v>44</v>
      </c>
      <c r="O122" s="2">
        <v>3</v>
      </c>
      <c r="P122" s="2">
        <v>300</v>
      </c>
      <c r="Q122" s="4">
        <v>0.77</v>
      </c>
      <c r="R122" s="4">
        <v>0.08</v>
      </c>
      <c r="S122" s="5">
        <v>9.3000000000000007</v>
      </c>
      <c r="T122" s="5">
        <v>0.43</v>
      </c>
    </row>
    <row r="123" spans="1:21" x14ac:dyDescent="0.25">
      <c r="L123" s="2" t="s">
        <v>53</v>
      </c>
      <c r="M123" s="2" t="s">
        <v>5</v>
      </c>
      <c r="N123" s="2" t="s">
        <v>44</v>
      </c>
      <c r="O123" s="2">
        <v>3</v>
      </c>
      <c r="P123" s="2">
        <v>300</v>
      </c>
      <c r="Q123" s="4">
        <v>0.79</v>
      </c>
      <c r="R123" s="4">
        <v>0.04</v>
      </c>
      <c r="S123" s="5">
        <v>9.1999999999999993</v>
      </c>
      <c r="T123" s="5">
        <v>0.1</v>
      </c>
    </row>
    <row r="124" spans="1:21" x14ac:dyDescent="0.25">
      <c r="L124" s="2" t="s">
        <v>54</v>
      </c>
      <c r="M124" s="2" t="s">
        <v>5</v>
      </c>
      <c r="N124" s="2" t="s">
        <v>44</v>
      </c>
      <c r="O124" s="2">
        <v>3</v>
      </c>
      <c r="P124" s="2">
        <v>300</v>
      </c>
      <c r="Q124" s="4">
        <v>0.83</v>
      </c>
      <c r="R124" s="4">
        <v>0.06</v>
      </c>
      <c r="S124" s="5">
        <v>8.6999999999999993</v>
      </c>
      <c r="T124" s="5">
        <v>0.2</v>
      </c>
    </row>
    <row r="125" spans="1:21" x14ac:dyDescent="0.25">
      <c r="L125" s="2" t="s">
        <v>55</v>
      </c>
      <c r="M125" s="2" t="s">
        <v>5</v>
      </c>
      <c r="O125" s="2">
        <v>3</v>
      </c>
      <c r="P125" s="2">
        <v>300</v>
      </c>
      <c r="Q125" s="4">
        <v>0.85</v>
      </c>
      <c r="R125" s="4">
        <v>4.5999999999999999E-2</v>
      </c>
      <c r="S125" s="5">
        <v>8.3000000000000007</v>
      </c>
      <c r="T125" s="5">
        <v>0.2</v>
      </c>
    </row>
    <row r="126" spans="1:21" x14ac:dyDescent="0.25">
      <c r="A126" s="1" t="s">
        <v>34</v>
      </c>
      <c r="B126" s="1">
        <v>35.51</v>
      </c>
      <c r="C126" s="1">
        <v>106.41</v>
      </c>
      <c r="D126" s="1">
        <v>8.1</v>
      </c>
      <c r="E126" s="1">
        <v>451.2</v>
      </c>
      <c r="F126" s="1">
        <f>12.33*0.58</f>
        <v>7.1513999999999998</v>
      </c>
      <c r="G126" s="1">
        <v>0.44</v>
      </c>
      <c r="H126" s="1">
        <v>1.34</v>
      </c>
      <c r="J126" s="2" t="s">
        <v>21</v>
      </c>
      <c r="K126" s="1">
        <v>2018</v>
      </c>
      <c r="L126" s="2" t="s">
        <v>12</v>
      </c>
      <c r="M126" s="2" t="s">
        <v>5</v>
      </c>
      <c r="N126" s="3" t="s">
        <v>208</v>
      </c>
      <c r="O126" s="2">
        <v>3</v>
      </c>
      <c r="P126" s="2">
        <v>0</v>
      </c>
      <c r="Q126" s="4">
        <v>0.49</v>
      </c>
      <c r="R126" s="4">
        <v>0.1</v>
      </c>
      <c r="S126" s="5">
        <v>1</v>
      </c>
      <c r="T126" s="5">
        <f t="shared" ref="T126:T142" si="4">S126*0.17</f>
        <v>0.17</v>
      </c>
      <c r="U126" s="7" t="s">
        <v>230</v>
      </c>
    </row>
    <row r="127" spans="1:21" x14ac:dyDescent="0.25">
      <c r="F127" s="1">
        <f>12.35*0.58</f>
        <v>7.1629999999999994</v>
      </c>
      <c r="G127" s="1">
        <v>0.44</v>
      </c>
      <c r="H127" s="1">
        <v>1.34</v>
      </c>
      <c r="L127" s="2" t="s">
        <v>56</v>
      </c>
      <c r="M127" s="2" t="s">
        <v>5</v>
      </c>
      <c r="N127" s="3" t="s">
        <v>208</v>
      </c>
      <c r="O127" s="2">
        <v>3</v>
      </c>
      <c r="P127" s="2">
        <v>120</v>
      </c>
      <c r="Q127" s="4">
        <v>0.74</v>
      </c>
      <c r="R127" s="4">
        <v>0.16</v>
      </c>
      <c r="S127" s="5">
        <v>5.4</v>
      </c>
      <c r="T127" s="5">
        <f t="shared" si="4"/>
        <v>0.91800000000000015</v>
      </c>
      <c r="U127" s="7" t="s">
        <v>231</v>
      </c>
    </row>
    <row r="128" spans="1:21" x14ac:dyDescent="0.25">
      <c r="F128" s="1">
        <f>12.45*0.58</f>
        <v>7.2209999999999992</v>
      </c>
      <c r="G128" s="1">
        <v>0.47</v>
      </c>
      <c r="H128" s="1">
        <v>1.34</v>
      </c>
      <c r="L128" s="2" t="s">
        <v>57</v>
      </c>
      <c r="M128" s="2" t="s">
        <v>5</v>
      </c>
      <c r="N128" s="3" t="s">
        <v>208</v>
      </c>
      <c r="O128" s="2">
        <v>3</v>
      </c>
      <c r="P128" s="2">
        <v>175</v>
      </c>
      <c r="Q128" s="4">
        <v>0.95</v>
      </c>
      <c r="R128" s="4">
        <v>0.16</v>
      </c>
      <c r="S128" s="5">
        <v>7.2</v>
      </c>
      <c r="T128" s="5">
        <f t="shared" si="4"/>
        <v>1.2240000000000002</v>
      </c>
    </row>
    <row r="129" spans="1:21" x14ac:dyDescent="0.25">
      <c r="F129" s="1">
        <f>12.58*0.58</f>
        <v>7.2963999999999993</v>
      </c>
      <c r="G129" s="1">
        <v>0.47</v>
      </c>
      <c r="H129" s="1">
        <v>1.34</v>
      </c>
      <c r="L129" s="2" t="s">
        <v>58</v>
      </c>
      <c r="M129" s="2" t="s">
        <v>5</v>
      </c>
      <c r="N129" s="3" t="s">
        <v>208</v>
      </c>
      <c r="O129" s="2">
        <v>3</v>
      </c>
      <c r="P129" s="2">
        <v>230</v>
      </c>
      <c r="Q129" s="4">
        <v>1.48</v>
      </c>
      <c r="R129" s="4">
        <v>0.17</v>
      </c>
      <c r="S129" s="5">
        <v>11.1</v>
      </c>
      <c r="T129" s="5">
        <f t="shared" si="4"/>
        <v>1.887</v>
      </c>
    </row>
    <row r="130" spans="1:21" x14ac:dyDescent="0.25">
      <c r="F130" s="1">
        <f>12.61*0.58</f>
        <v>7.3137999999999987</v>
      </c>
      <c r="G130" s="1">
        <v>0.47</v>
      </c>
      <c r="H130" s="1">
        <v>1.34</v>
      </c>
      <c r="L130" s="2" t="s">
        <v>59</v>
      </c>
      <c r="M130" s="2" t="s">
        <v>5</v>
      </c>
      <c r="N130" s="3" t="s">
        <v>208</v>
      </c>
      <c r="O130" s="2">
        <v>3</v>
      </c>
      <c r="P130" s="2">
        <v>285</v>
      </c>
      <c r="Q130" s="4">
        <v>2.09</v>
      </c>
      <c r="R130" s="4">
        <v>0.17</v>
      </c>
      <c r="S130" s="5">
        <v>11.5</v>
      </c>
      <c r="T130" s="5">
        <f t="shared" si="4"/>
        <v>1.9550000000000001</v>
      </c>
    </row>
    <row r="131" spans="1:21" x14ac:dyDescent="0.25">
      <c r="L131" s="2" t="s">
        <v>60</v>
      </c>
      <c r="M131" s="2" t="s">
        <v>5</v>
      </c>
      <c r="N131" s="2" t="s">
        <v>19</v>
      </c>
      <c r="O131" s="2">
        <v>3</v>
      </c>
      <c r="P131" s="2">
        <v>235</v>
      </c>
      <c r="Q131" s="4">
        <v>0.47</v>
      </c>
      <c r="R131" s="4">
        <v>0.04</v>
      </c>
      <c r="S131" s="5">
        <v>11.54</v>
      </c>
      <c r="T131" s="5">
        <v>0.1</v>
      </c>
    </row>
    <row r="132" spans="1:21" x14ac:dyDescent="0.25">
      <c r="J132" s="2" t="s">
        <v>21</v>
      </c>
      <c r="K132" s="1">
        <v>2019</v>
      </c>
      <c r="L132" s="2" t="s">
        <v>12</v>
      </c>
      <c r="M132" s="2" t="s">
        <v>5</v>
      </c>
      <c r="N132" s="3" t="s">
        <v>208</v>
      </c>
      <c r="O132" s="2">
        <v>3</v>
      </c>
      <c r="P132" s="2">
        <v>0</v>
      </c>
      <c r="Q132" s="4">
        <v>0.46</v>
      </c>
      <c r="R132" s="4">
        <v>0.1</v>
      </c>
      <c r="S132" s="5">
        <v>0.2</v>
      </c>
      <c r="T132" s="5">
        <f t="shared" si="4"/>
        <v>3.4000000000000002E-2</v>
      </c>
    </row>
    <row r="133" spans="1:21" x14ac:dyDescent="0.25">
      <c r="L133" s="2" t="s">
        <v>56</v>
      </c>
      <c r="M133" s="2" t="s">
        <v>5</v>
      </c>
      <c r="N133" s="3" t="s">
        <v>208</v>
      </c>
      <c r="O133" s="2">
        <v>3</v>
      </c>
      <c r="P133" s="2">
        <v>120</v>
      </c>
      <c r="Q133" s="4">
        <v>0.92</v>
      </c>
      <c r="R133" s="4">
        <v>0.17</v>
      </c>
      <c r="S133" s="5">
        <v>3.9</v>
      </c>
      <c r="T133" s="5">
        <f t="shared" si="4"/>
        <v>0.66300000000000003</v>
      </c>
    </row>
    <row r="134" spans="1:21" x14ac:dyDescent="0.25">
      <c r="L134" s="2" t="s">
        <v>57</v>
      </c>
      <c r="M134" s="2" t="s">
        <v>5</v>
      </c>
      <c r="N134" s="3" t="s">
        <v>208</v>
      </c>
      <c r="O134" s="2">
        <v>3</v>
      </c>
      <c r="P134" s="2">
        <v>175</v>
      </c>
      <c r="Q134" s="4">
        <v>1.2</v>
      </c>
      <c r="R134" s="4">
        <v>0.18</v>
      </c>
      <c r="S134" s="5">
        <v>4.8</v>
      </c>
      <c r="T134" s="5">
        <f t="shared" si="4"/>
        <v>0.81600000000000006</v>
      </c>
    </row>
    <row r="135" spans="1:21" x14ac:dyDescent="0.25">
      <c r="L135" s="2" t="s">
        <v>58</v>
      </c>
      <c r="M135" s="2" t="s">
        <v>5</v>
      </c>
      <c r="N135" s="3" t="s">
        <v>208</v>
      </c>
      <c r="O135" s="2">
        <v>3</v>
      </c>
      <c r="P135" s="2">
        <v>230</v>
      </c>
      <c r="Q135" s="4">
        <v>2.2000000000000002</v>
      </c>
      <c r="R135" s="4">
        <v>0.18</v>
      </c>
      <c r="S135" s="5">
        <v>6.5</v>
      </c>
      <c r="T135" s="5">
        <f t="shared" si="4"/>
        <v>1.105</v>
      </c>
    </row>
    <row r="136" spans="1:21" x14ac:dyDescent="0.25">
      <c r="L136" s="2" t="s">
        <v>59</v>
      </c>
      <c r="M136" s="2" t="s">
        <v>5</v>
      </c>
      <c r="N136" s="3" t="s">
        <v>208</v>
      </c>
      <c r="O136" s="2">
        <v>3</v>
      </c>
      <c r="P136" s="2">
        <v>285</v>
      </c>
      <c r="Q136" s="4">
        <v>2.66</v>
      </c>
      <c r="R136" s="4">
        <v>0.17</v>
      </c>
      <c r="S136" s="5">
        <v>6.7</v>
      </c>
      <c r="T136" s="5">
        <f t="shared" si="4"/>
        <v>1.139</v>
      </c>
    </row>
    <row r="137" spans="1:21" x14ac:dyDescent="0.25">
      <c r="L137" s="2" t="s">
        <v>60</v>
      </c>
      <c r="M137" s="2" t="s">
        <v>5</v>
      </c>
      <c r="N137" s="2" t="s">
        <v>19</v>
      </c>
      <c r="O137" s="2">
        <v>3</v>
      </c>
      <c r="P137" s="2">
        <v>235</v>
      </c>
      <c r="Q137" s="4">
        <v>0.61</v>
      </c>
      <c r="R137" s="4">
        <v>0.13</v>
      </c>
      <c r="S137" s="5">
        <v>6.77</v>
      </c>
      <c r="T137" s="5">
        <v>0.05</v>
      </c>
    </row>
    <row r="138" spans="1:21" x14ac:dyDescent="0.25">
      <c r="J138" s="2" t="s">
        <v>21</v>
      </c>
      <c r="K138" s="1">
        <v>2020</v>
      </c>
      <c r="L138" s="2" t="s">
        <v>12</v>
      </c>
      <c r="M138" s="2" t="s">
        <v>5</v>
      </c>
      <c r="N138" s="3" t="s">
        <v>208</v>
      </c>
      <c r="O138" s="2">
        <v>3</v>
      </c>
      <c r="P138" s="2">
        <v>0</v>
      </c>
      <c r="Q138" s="4">
        <v>0.43</v>
      </c>
      <c r="R138" s="4">
        <v>0.1</v>
      </c>
      <c r="S138" s="5">
        <v>0.1</v>
      </c>
      <c r="T138" s="5">
        <f t="shared" si="4"/>
        <v>1.7000000000000001E-2</v>
      </c>
    </row>
    <row r="139" spans="1:21" x14ac:dyDescent="0.25">
      <c r="L139" s="2" t="s">
        <v>56</v>
      </c>
      <c r="M139" s="2" t="s">
        <v>5</v>
      </c>
      <c r="N139" s="3" t="s">
        <v>208</v>
      </c>
      <c r="O139" s="2">
        <v>3</v>
      </c>
      <c r="P139" s="2">
        <v>120</v>
      </c>
      <c r="Q139" s="4">
        <v>1.1599999999999999</v>
      </c>
      <c r="R139" s="4">
        <v>0.17</v>
      </c>
      <c r="S139" s="5">
        <v>3.6</v>
      </c>
      <c r="T139" s="5">
        <f t="shared" si="4"/>
        <v>0.6120000000000001</v>
      </c>
    </row>
    <row r="140" spans="1:21" x14ac:dyDescent="0.25">
      <c r="L140" s="2" t="s">
        <v>57</v>
      </c>
      <c r="M140" s="2" t="s">
        <v>5</v>
      </c>
      <c r="N140" s="3" t="s">
        <v>208</v>
      </c>
      <c r="O140" s="2">
        <v>3</v>
      </c>
      <c r="P140" s="2">
        <v>175</v>
      </c>
      <c r="Q140" s="4">
        <v>1.38</v>
      </c>
      <c r="R140" s="4">
        <v>0.17</v>
      </c>
      <c r="S140" s="5">
        <v>4.2</v>
      </c>
      <c r="T140" s="5">
        <f t="shared" si="4"/>
        <v>0.71400000000000008</v>
      </c>
    </row>
    <row r="141" spans="1:21" x14ac:dyDescent="0.25">
      <c r="L141" s="2" t="s">
        <v>58</v>
      </c>
      <c r="M141" s="2" t="s">
        <v>5</v>
      </c>
      <c r="N141" s="3" t="s">
        <v>208</v>
      </c>
      <c r="O141" s="2">
        <v>3</v>
      </c>
      <c r="P141" s="2">
        <v>230</v>
      </c>
      <c r="Q141" s="4">
        <v>2.34</v>
      </c>
      <c r="R141" s="4">
        <v>0.16</v>
      </c>
      <c r="S141" s="5">
        <v>5.9</v>
      </c>
      <c r="T141" s="5">
        <f t="shared" si="4"/>
        <v>1.0030000000000001</v>
      </c>
    </row>
    <row r="142" spans="1:21" x14ac:dyDescent="0.25">
      <c r="L142" s="2" t="s">
        <v>59</v>
      </c>
      <c r="M142" s="2" t="s">
        <v>5</v>
      </c>
      <c r="N142" s="3" t="s">
        <v>208</v>
      </c>
      <c r="O142" s="2">
        <v>3</v>
      </c>
      <c r="P142" s="2">
        <v>285</v>
      </c>
      <c r="Q142" s="4">
        <v>2.95</v>
      </c>
      <c r="R142" s="4">
        <v>0.17</v>
      </c>
      <c r="S142" s="5">
        <v>6</v>
      </c>
      <c r="T142" s="5">
        <f t="shared" si="4"/>
        <v>1.02</v>
      </c>
    </row>
    <row r="143" spans="1:21" x14ac:dyDescent="0.25">
      <c r="L143" s="2" t="s">
        <v>60</v>
      </c>
      <c r="M143" s="2" t="s">
        <v>5</v>
      </c>
      <c r="N143" s="2" t="s">
        <v>19</v>
      </c>
      <c r="O143" s="2">
        <v>3</v>
      </c>
      <c r="P143" s="2">
        <v>235</v>
      </c>
      <c r="Q143" s="4">
        <v>0.78</v>
      </c>
      <c r="R143" s="4">
        <v>0.13</v>
      </c>
      <c r="S143" s="5">
        <v>6.11</v>
      </c>
      <c r="T143" s="5">
        <v>0.05</v>
      </c>
    </row>
    <row r="144" spans="1:21" x14ac:dyDescent="0.25">
      <c r="A144" s="1" t="s">
        <v>34</v>
      </c>
      <c r="B144" s="1">
        <v>35.51</v>
      </c>
      <c r="C144" s="1">
        <v>106.47</v>
      </c>
      <c r="D144" s="1">
        <v>8.1</v>
      </c>
      <c r="E144" s="1">
        <v>430</v>
      </c>
      <c r="F144" s="1">
        <f>13.52*0.58</f>
        <v>7.8415999999999988</v>
      </c>
      <c r="G144" s="1">
        <v>1.19</v>
      </c>
      <c r="H144" s="1">
        <v>1.33</v>
      </c>
      <c r="I144" s="1">
        <v>8.4</v>
      </c>
      <c r="J144" s="2" t="s">
        <v>21</v>
      </c>
      <c r="K144" s="1">
        <v>2019</v>
      </c>
      <c r="L144" s="2" t="s">
        <v>61</v>
      </c>
      <c r="M144" s="3" t="s">
        <v>211</v>
      </c>
      <c r="N144" s="2" t="s">
        <v>29</v>
      </c>
      <c r="O144" s="2">
        <v>3</v>
      </c>
      <c r="P144" s="2">
        <v>300</v>
      </c>
      <c r="Q144" s="4">
        <v>0.52181818199999996</v>
      </c>
      <c r="R144" s="4">
        <v>7.0000000000000007E-2</v>
      </c>
      <c r="S144" s="5">
        <v>11.2</v>
      </c>
      <c r="T144" s="5">
        <v>0.7</v>
      </c>
      <c r="U144" s="7" t="s">
        <v>232</v>
      </c>
    </row>
    <row r="145" spans="1:21" x14ac:dyDescent="0.25">
      <c r="L145" s="2" t="s">
        <v>62</v>
      </c>
      <c r="M145" s="3" t="s">
        <v>211</v>
      </c>
      <c r="N145" s="2" t="s">
        <v>11</v>
      </c>
      <c r="O145" s="2">
        <v>3</v>
      </c>
      <c r="P145" s="2">
        <v>300</v>
      </c>
      <c r="Q145" s="4">
        <v>0.50272727299999997</v>
      </c>
      <c r="R145" s="4">
        <v>0.05</v>
      </c>
      <c r="S145" s="5">
        <v>10.9</v>
      </c>
      <c r="T145" s="5">
        <v>0.5</v>
      </c>
    </row>
    <row r="146" spans="1:21" x14ac:dyDescent="0.25">
      <c r="L146" s="2" t="s">
        <v>63</v>
      </c>
      <c r="M146" s="3" t="s">
        <v>211</v>
      </c>
      <c r="N146" s="2" t="s">
        <v>29</v>
      </c>
      <c r="O146" s="2">
        <v>3</v>
      </c>
      <c r="P146" s="2">
        <v>300</v>
      </c>
      <c r="Q146" s="4">
        <v>0.48363636399999999</v>
      </c>
      <c r="R146" s="4">
        <v>0.05</v>
      </c>
      <c r="S146" s="5">
        <v>11.7</v>
      </c>
      <c r="T146" s="5">
        <v>0.45</v>
      </c>
    </row>
    <row r="147" spans="1:21" x14ac:dyDescent="0.25">
      <c r="L147" s="2" t="s">
        <v>64</v>
      </c>
      <c r="M147" s="3" t="s">
        <v>211</v>
      </c>
      <c r="N147" s="2" t="s">
        <v>11</v>
      </c>
      <c r="O147" s="2">
        <v>3</v>
      </c>
      <c r="P147" s="2">
        <v>300</v>
      </c>
      <c r="Q147" s="4">
        <v>0.36909090900000002</v>
      </c>
      <c r="R147" s="4">
        <v>0.08</v>
      </c>
      <c r="S147" s="5">
        <v>10.4</v>
      </c>
      <c r="T147" s="5">
        <v>0.6</v>
      </c>
    </row>
    <row r="148" spans="1:21" x14ac:dyDescent="0.25">
      <c r="J148" s="2" t="s">
        <v>21</v>
      </c>
      <c r="K148" s="1">
        <v>2020</v>
      </c>
      <c r="L148" s="2" t="s">
        <v>61</v>
      </c>
      <c r="M148" s="3" t="s">
        <v>211</v>
      </c>
      <c r="N148" s="2" t="s">
        <v>29</v>
      </c>
      <c r="O148" s="2">
        <v>3</v>
      </c>
      <c r="P148" s="2">
        <v>300</v>
      </c>
      <c r="Q148" s="4">
        <v>0.85272727299999995</v>
      </c>
      <c r="R148" s="4">
        <v>7.0000000000000007E-2</v>
      </c>
      <c r="S148" s="5">
        <v>14.5</v>
      </c>
      <c r="T148" s="5">
        <v>0.17</v>
      </c>
    </row>
    <row r="149" spans="1:21" x14ac:dyDescent="0.25">
      <c r="L149" s="2" t="s">
        <v>62</v>
      </c>
      <c r="M149" s="3" t="s">
        <v>211</v>
      </c>
      <c r="N149" s="2" t="s">
        <v>11</v>
      </c>
      <c r="O149" s="2">
        <v>3</v>
      </c>
      <c r="P149" s="2">
        <v>300</v>
      </c>
      <c r="Q149" s="4">
        <v>0.63</v>
      </c>
      <c r="R149" s="4">
        <v>0.06</v>
      </c>
      <c r="S149" s="5">
        <v>13.4</v>
      </c>
      <c r="T149" s="5">
        <v>0.23</v>
      </c>
    </row>
    <row r="150" spans="1:21" x14ac:dyDescent="0.25">
      <c r="L150" s="2" t="s">
        <v>63</v>
      </c>
      <c r="M150" s="3" t="s">
        <v>211</v>
      </c>
      <c r="N150" s="2" t="s">
        <v>29</v>
      </c>
      <c r="O150" s="2">
        <v>3</v>
      </c>
      <c r="P150" s="2">
        <v>300</v>
      </c>
      <c r="Q150" s="4">
        <v>0.96090909099999999</v>
      </c>
      <c r="R150" s="4">
        <v>0.03</v>
      </c>
      <c r="S150" s="5">
        <v>14</v>
      </c>
      <c r="T150" s="5">
        <v>1.82</v>
      </c>
    </row>
    <row r="151" spans="1:21" x14ac:dyDescent="0.25">
      <c r="L151" s="2" t="s">
        <v>64</v>
      </c>
      <c r="M151" s="3" t="s">
        <v>211</v>
      </c>
      <c r="N151" s="2" t="s">
        <v>11</v>
      </c>
      <c r="O151" s="2">
        <v>3</v>
      </c>
      <c r="P151" s="2">
        <v>300</v>
      </c>
      <c r="Q151" s="4">
        <v>0.54090909099999995</v>
      </c>
      <c r="R151" s="4">
        <v>0.03</v>
      </c>
      <c r="S151" s="5">
        <v>13.4</v>
      </c>
      <c r="T151" s="5">
        <v>2</v>
      </c>
    </row>
    <row r="152" spans="1:21" x14ac:dyDescent="0.25">
      <c r="J152" s="2" t="s">
        <v>21</v>
      </c>
      <c r="K152" s="1">
        <v>2021</v>
      </c>
      <c r="L152" s="2" t="s">
        <v>61</v>
      </c>
      <c r="M152" s="3" t="s">
        <v>211</v>
      </c>
      <c r="N152" s="2" t="s">
        <v>29</v>
      </c>
      <c r="O152" s="2">
        <v>3</v>
      </c>
      <c r="P152" s="2">
        <v>300</v>
      </c>
      <c r="Q152" s="4">
        <v>0.76363636400000001</v>
      </c>
      <c r="R152" s="4">
        <v>0.05</v>
      </c>
      <c r="S152" s="5">
        <v>13.1</v>
      </c>
      <c r="T152" s="5">
        <v>0.28999999999999998</v>
      </c>
    </row>
    <row r="153" spans="1:21" x14ac:dyDescent="0.25">
      <c r="L153" s="2" t="s">
        <v>62</v>
      </c>
      <c r="M153" s="3" t="s">
        <v>211</v>
      </c>
      <c r="N153" s="2" t="s">
        <v>11</v>
      </c>
      <c r="O153" s="2">
        <v>3</v>
      </c>
      <c r="P153" s="2">
        <v>300</v>
      </c>
      <c r="Q153" s="4">
        <v>0.68727272699999997</v>
      </c>
      <c r="R153" s="4">
        <v>0.09</v>
      </c>
      <c r="S153" s="5">
        <v>11.7</v>
      </c>
      <c r="T153" s="5">
        <v>0.23</v>
      </c>
    </row>
    <row r="154" spans="1:21" x14ac:dyDescent="0.25">
      <c r="L154" s="2" t="s">
        <v>63</v>
      </c>
      <c r="M154" s="3" t="s">
        <v>211</v>
      </c>
      <c r="N154" s="2" t="s">
        <v>29</v>
      </c>
      <c r="O154" s="2">
        <v>3</v>
      </c>
      <c r="P154" s="2">
        <v>300</v>
      </c>
      <c r="Q154" s="4">
        <v>0.655454545</v>
      </c>
      <c r="R154" s="4">
        <v>0.03</v>
      </c>
      <c r="S154" s="5">
        <v>12.7</v>
      </c>
      <c r="T154" s="5">
        <v>0.34</v>
      </c>
    </row>
    <row r="155" spans="1:21" x14ac:dyDescent="0.25">
      <c r="L155" s="2" t="s">
        <v>64</v>
      </c>
      <c r="M155" s="3" t="s">
        <v>211</v>
      </c>
      <c r="N155" s="2" t="s">
        <v>11</v>
      </c>
      <c r="O155" s="2">
        <v>3</v>
      </c>
      <c r="P155" s="2">
        <v>300</v>
      </c>
      <c r="Q155" s="4">
        <v>0.64909090899999999</v>
      </c>
      <c r="R155" s="4">
        <v>7.0000000000000007E-2</v>
      </c>
      <c r="S155" s="5">
        <v>10.8</v>
      </c>
      <c r="T155" s="5">
        <v>0.22</v>
      </c>
    </row>
    <row r="156" spans="1:21" x14ac:dyDescent="0.25">
      <c r="A156" s="1" t="s">
        <v>34</v>
      </c>
      <c r="B156" s="1">
        <v>35.409999999999997</v>
      </c>
      <c r="C156" s="1">
        <v>106.32</v>
      </c>
      <c r="D156" s="1">
        <v>8.4</v>
      </c>
      <c r="E156" s="1">
        <v>450</v>
      </c>
      <c r="F156" s="1">
        <f>12.03*0.58</f>
        <v>6.9773999999999994</v>
      </c>
      <c r="G156" s="1">
        <v>1.25</v>
      </c>
      <c r="H156" s="1">
        <v>1.37</v>
      </c>
      <c r="I156" s="1">
        <v>8.14</v>
      </c>
      <c r="J156" s="2" t="s">
        <v>21</v>
      </c>
      <c r="K156" s="1">
        <v>2019</v>
      </c>
      <c r="L156" s="2" t="s">
        <v>22</v>
      </c>
      <c r="M156" s="2" t="s">
        <v>5</v>
      </c>
      <c r="N156" s="2" t="s">
        <v>65</v>
      </c>
      <c r="O156" s="2">
        <v>3</v>
      </c>
      <c r="P156" s="2">
        <v>250</v>
      </c>
      <c r="Q156" s="4">
        <v>1.79</v>
      </c>
      <c r="R156" s="4">
        <v>0.15</v>
      </c>
      <c r="S156" s="5">
        <v>15.55</v>
      </c>
      <c r="T156" s="5">
        <v>0.41</v>
      </c>
      <c r="U156" s="7" t="s">
        <v>233</v>
      </c>
    </row>
    <row r="157" spans="1:21" x14ac:dyDescent="0.25">
      <c r="L157" s="2" t="s">
        <v>24</v>
      </c>
      <c r="M157" s="2" t="s">
        <v>5</v>
      </c>
      <c r="N157" s="2" t="s">
        <v>66</v>
      </c>
      <c r="O157" s="2">
        <v>3</v>
      </c>
      <c r="P157" s="2">
        <v>250</v>
      </c>
      <c r="Q157" s="4">
        <v>2.39</v>
      </c>
      <c r="R157" s="4">
        <v>0.1</v>
      </c>
      <c r="S157" s="5">
        <v>15.23</v>
      </c>
      <c r="T157" s="5">
        <v>0.22</v>
      </c>
    </row>
    <row r="158" spans="1:21" x14ac:dyDescent="0.25">
      <c r="L158" s="2" t="s">
        <v>25</v>
      </c>
      <c r="M158" s="2" t="s">
        <v>5</v>
      </c>
      <c r="N158" s="2" t="s">
        <v>67</v>
      </c>
      <c r="O158" s="2">
        <v>3</v>
      </c>
      <c r="P158" s="2">
        <v>250</v>
      </c>
      <c r="Q158" s="4">
        <v>1.72</v>
      </c>
      <c r="R158" s="4">
        <v>0.16</v>
      </c>
      <c r="S158" s="5">
        <v>16.98</v>
      </c>
      <c r="T158" s="5">
        <v>0.35</v>
      </c>
    </row>
    <row r="159" spans="1:21" x14ac:dyDescent="0.25">
      <c r="J159" s="2" t="s">
        <v>21</v>
      </c>
      <c r="K159" s="1">
        <v>2020</v>
      </c>
      <c r="L159" s="2" t="s">
        <v>22</v>
      </c>
      <c r="M159" s="2" t="s">
        <v>5</v>
      </c>
      <c r="N159" s="2" t="s">
        <v>65</v>
      </c>
      <c r="O159" s="2">
        <v>3</v>
      </c>
      <c r="P159" s="2">
        <v>250</v>
      </c>
      <c r="Q159" s="4">
        <v>2.14</v>
      </c>
      <c r="R159" s="4">
        <v>0.14000000000000001</v>
      </c>
      <c r="S159" s="5">
        <v>13.12</v>
      </c>
      <c r="T159" s="5">
        <v>0.08</v>
      </c>
    </row>
    <row r="160" spans="1:21" x14ac:dyDescent="0.25">
      <c r="L160" s="2" t="s">
        <v>24</v>
      </c>
      <c r="M160" s="2" t="s">
        <v>5</v>
      </c>
      <c r="N160" s="2" t="s">
        <v>66</v>
      </c>
      <c r="O160" s="2">
        <v>3</v>
      </c>
      <c r="P160" s="2">
        <v>250</v>
      </c>
      <c r="Q160" s="4">
        <v>2.63</v>
      </c>
      <c r="R160" s="4">
        <v>0.1</v>
      </c>
      <c r="S160" s="5">
        <v>13.27</v>
      </c>
      <c r="T160" s="5">
        <v>0.25</v>
      </c>
    </row>
    <row r="161" spans="1:21" x14ac:dyDescent="0.25">
      <c r="L161" s="2" t="s">
        <v>25</v>
      </c>
      <c r="M161" s="2" t="s">
        <v>5</v>
      </c>
      <c r="N161" s="2" t="s">
        <v>67</v>
      </c>
      <c r="O161" s="2">
        <v>3</v>
      </c>
      <c r="P161" s="2">
        <v>250</v>
      </c>
      <c r="Q161" s="4">
        <v>2.0299999999999998</v>
      </c>
      <c r="R161" s="4">
        <v>7.0000000000000007E-2</v>
      </c>
      <c r="S161" s="5">
        <v>15.11</v>
      </c>
      <c r="T161" s="5">
        <v>0.18</v>
      </c>
    </row>
    <row r="162" spans="1:21" x14ac:dyDescent="0.25">
      <c r="J162" s="2" t="s">
        <v>21</v>
      </c>
      <c r="K162" s="1">
        <v>2021</v>
      </c>
      <c r="L162" s="2" t="s">
        <v>22</v>
      </c>
      <c r="M162" s="2" t="s">
        <v>5</v>
      </c>
      <c r="N162" s="2" t="s">
        <v>65</v>
      </c>
      <c r="O162" s="2">
        <v>3</v>
      </c>
      <c r="P162" s="2">
        <v>250</v>
      </c>
      <c r="Q162" s="4">
        <v>2.4900000000000002</v>
      </c>
      <c r="R162" s="4">
        <v>0.13</v>
      </c>
      <c r="S162" s="5">
        <v>14.88</v>
      </c>
      <c r="T162" s="5">
        <v>0.4</v>
      </c>
    </row>
    <row r="163" spans="1:21" x14ac:dyDescent="0.25">
      <c r="L163" s="2" t="s">
        <v>24</v>
      </c>
      <c r="M163" s="2" t="s">
        <v>5</v>
      </c>
      <c r="N163" s="2" t="s">
        <v>66</v>
      </c>
      <c r="O163" s="2">
        <v>3</v>
      </c>
      <c r="P163" s="2">
        <v>250</v>
      </c>
      <c r="Q163" s="4">
        <v>3.27</v>
      </c>
      <c r="R163" s="4">
        <v>0.11</v>
      </c>
      <c r="S163" s="5">
        <v>15</v>
      </c>
      <c r="T163" s="5">
        <v>0.37</v>
      </c>
    </row>
    <row r="164" spans="1:21" x14ac:dyDescent="0.25">
      <c r="L164" s="2" t="s">
        <v>25</v>
      </c>
      <c r="M164" s="2" t="s">
        <v>5</v>
      </c>
      <c r="N164" s="2" t="s">
        <v>67</v>
      </c>
      <c r="O164" s="2">
        <v>3</v>
      </c>
      <c r="P164" s="2">
        <v>250</v>
      </c>
      <c r="Q164" s="4">
        <v>2.2200000000000002</v>
      </c>
      <c r="R164" s="4">
        <v>0.1</v>
      </c>
      <c r="S164" s="5">
        <v>16.690000000000001</v>
      </c>
      <c r="T164" s="5">
        <v>0.18</v>
      </c>
    </row>
    <row r="165" spans="1:21" x14ac:dyDescent="0.25">
      <c r="A165" s="1" t="s">
        <v>68</v>
      </c>
      <c r="B165" s="1">
        <v>35.28</v>
      </c>
      <c r="C165" s="1">
        <v>104.44</v>
      </c>
      <c r="D165" s="1">
        <v>6.4</v>
      </c>
      <c r="E165" s="1">
        <v>391</v>
      </c>
      <c r="F165" s="1">
        <v>7.48</v>
      </c>
      <c r="G165" s="1">
        <v>0.85</v>
      </c>
      <c r="I165" s="1">
        <v>8.66</v>
      </c>
      <c r="J165" s="2" t="s">
        <v>21</v>
      </c>
      <c r="K165" s="1">
        <v>2019</v>
      </c>
      <c r="L165" s="2" t="s">
        <v>7</v>
      </c>
      <c r="O165" s="2">
        <v>3</v>
      </c>
      <c r="P165" s="2">
        <v>0</v>
      </c>
      <c r="Q165" s="4">
        <v>1.8038000000000001</v>
      </c>
      <c r="R165" s="4">
        <v>0.17</v>
      </c>
      <c r="U165" s="7" t="s">
        <v>234</v>
      </c>
    </row>
    <row r="166" spans="1:21" x14ac:dyDescent="0.25">
      <c r="F166" s="1">
        <v>7.93</v>
      </c>
      <c r="G166" s="1">
        <v>0.93</v>
      </c>
      <c r="I166" s="1">
        <v>8.32</v>
      </c>
      <c r="L166" s="2" t="s">
        <v>69</v>
      </c>
      <c r="M166" s="2" t="s">
        <v>5</v>
      </c>
      <c r="O166" s="2">
        <v>3</v>
      </c>
      <c r="P166" s="2">
        <v>200</v>
      </c>
      <c r="Q166" s="4">
        <v>2.5346000000000002</v>
      </c>
      <c r="R166" s="4">
        <v>0.23</v>
      </c>
    </row>
    <row r="167" spans="1:21" x14ac:dyDescent="0.25">
      <c r="F167" s="1">
        <v>8.81</v>
      </c>
      <c r="G167" s="1">
        <v>0.94</v>
      </c>
      <c r="I167" s="1">
        <v>8.44</v>
      </c>
      <c r="L167" s="2" t="s">
        <v>70</v>
      </c>
      <c r="M167" s="2" t="s">
        <v>97</v>
      </c>
      <c r="O167" s="2">
        <v>3</v>
      </c>
      <c r="P167" s="2">
        <v>200</v>
      </c>
      <c r="Q167" s="4">
        <v>2.4186000000000001</v>
      </c>
      <c r="R167" s="4">
        <v>0.18</v>
      </c>
    </row>
    <row r="168" spans="1:21" x14ac:dyDescent="0.25">
      <c r="F168" s="1">
        <v>8.84</v>
      </c>
      <c r="G168" s="1">
        <v>0.98</v>
      </c>
      <c r="I168" s="1">
        <v>8.4499999999999993</v>
      </c>
      <c r="L168" s="2" t="s">
        <v>71</v>
      </c>
      <c r="M168" s="2" t="s">
        <v>151</v>
      </c>
      <c r="O168" s="2">
        <v>3</v>
      </c>
      <c r="P168" s="2">
        <v>200</v>
      </c>
      <c r="Q168" s="4">
        <v>3.2073999999999998</v>
      </c>
      <c r="R168" s="4">
        <v>0.36</v>
      </c>
    </row>
    <row r="169" spans="1:21" x14ac:dyDescent="0.25">
      <c r="F169" s="1">
        <v>9.81</v>
      </c>
      <c r="G169" s="1">
        <v>0.99</v>
      </c>
      <c r="I169" s="1">
        <v>8.5399999999999991</v>
      </c>
      <c r="L169" s="2" t="s">
        <v>72</v>
      </c>
      <c r="M169" s="2" t="s">
        <v>212</v>
      </c>
      <c r="O169" s="2">
        <v>3</v>
      </c>
      <c r="P169" s="2">
        <v>200</v>
      </c>
      <c r="Q169" s="4">
        <v>2.9754</v>
      </c>
      <c r="R169" s="4">
        <v>0.3</v>
      </c>
    </row>
    <row r="170" spans="1:21" x14ac:dyDescent="0.25">
      <c r="A170" s="1" t="s">
        <v>68</v>
      </c>
      <c r="B170" s="1">
        <v>35.28</v>
      </c>
      <c r="C170" s="1">
        <v>104.44</v>
      </c>
      <c r="D170" s="1">
        <v>10.8</v>
      </c>
      <c r="E170" s="1">
        <v>400</v>
      </c>
      <c r="F170" s="1">
        <v>7.48</v>
      </c>
      <c r="G170" s="1">
        <v>0.85</v>
      </c>
      <c r="I170" s="1">
        <v>8.8000000000000007</v>
      </c>
      <c r="J170" s="2" t="s">
        <v>21</v>
      </c>
      <c r="K170" s="1">
        <v>2020</v>
      </c>
      <c r="L170" s="2" t="s">
        <v>74</v>
      </c>
      <c r="N170" s="2" t="s">
        <v>11</v>
      </c>
      <c r="O170" s="2">
        <v>3</v>
      </c>
      <c r="P170" s="2">
        <v>0</v>
      </c>
      <c r="Q170" s="4">
        <v>2.2081818179999999</v>
      </c>
      <c r="R170" s="4">
        <v>0.14000000000000001</v>
      </c>
      <c r="S170" s="5">
        <v>4.01</v>
      </c>
      <c r="T170" s="5">
        <f t="shared" ref="T170:T179" si="5">S170*0.17</f>
        <v>0.68169999999999997</v>
      </c>
      <c r="U170" s="7" t="s">
        <v>235</v>
      </c>
    </row>
    <row r="171" spans="1:21" x14ac:dyDescent="0.25">
      <c r="F171" s="1">
        <v>7.93</v>
      </c>
      <c r="G171" s="1">
        <v>0.93</v>
      </c>
      <c r="I171" s="1">
        <v>8.43</v>
      </c>
      <c r="L171" s="2" t="s">
        <v>75</v>
      </c>
      <c r="M171" s="2" t="s">
        <v>5</v>
      </c>
      <c r="N171" s="2" t="s">
        <v>11</v>
      </c>
      <c r="O171" s="2">
        <v>3</v>
      </c>
      <c r="P171" s="2">
        <v>200</v>
      </c>
      <c r="Q171" s="4">
        <v>3.3536363640000002</v>
      </c>
      <c r="R171" s="4">
        <v>0.14000000000000001</v>
      </c>
      <c r="S171" s="5">
        <v>10.551</v>
      </c>
      <c r="T171" s="5">
        <f t="shared" si="5"/>
        <v>1.7936700000000001</v>
      </c>
    </row>
    <row r="172" spans="1:21" x14ac:dyDescent="0.25">
      <c r="F172" s="1">
        <v>8.81</v>
      </c>
      <c r="G172" s="1">
        <v>0.94</v>
      </c>
      <c r="I172" s="1">
        <v>8.3699999999999992</v>
      </c>
      <c r="L172" s="2" t="s">
        <v>76</v>
      </c>
      <c r="M172" s="2" t="s">
        <v>97</v>
      </c>
      <c r="N172" s="2" t="s">
        <v>11</v>
      </c>
      <c r="O172" s="2">
        <v>3</v>
      </c>
      <c r="P172" s="2">
        <v>200</v>
      </c>
      <c r="Q172" s="4">
        <v>2.8063636359999999</v>
      </c>
      <c r="R172" s="4">
        <v>0.152727273</v>
      </c>
      <c r="S172" s="5">
        <v>9.6029999999999998</v>
      </c>
      <c r="T172" s="5">
        <f t="shared" si="5"/>
        <v>1.6325100000000001</v>
      </c>
    </row>
    <row r="173" spans="1:21" x14ac:dyDescent="0.25">
      <c r="F173" s="1">
        <v>8.84</v>
      </c>
      <c r="G173" s="1">
        <v>0.98</v>
      </c>
      <c r="I173" s="1">
        <v>8.19</v>
      </c>
      <c r="L173" s="2" t="s">
        <v>24</v>
      </c>
      <c r="M173" s="2" t="s">
        <v>151</v>
      </c>
      <c r="N173" s="2" t="s">
        <v>11</v>
      </c>
      <c r="O173" s="2">
        <v>3</v>
      </c>
      <c r="P173" s="2">
        <v>200</v>
      </c>
      <c r="Q173" s="4">
        <v>3.8690909090000001</v>
      </c>
      <c r="R173" s="4">
        <v>0.19727272700000001</v>
      </c>
      <c r="S173" s="5">
        <v>5.4160000000000004</v>
      </c>
      <c r="T173" s="5">
        <f t="shared" si="5"/>
        <v>0.92072000000000009</v>
      </c>
    </row>
    <row r="174" spans="1:21" x14ac:dyDescent="0.25">
      <c r="F174" s="1">
        <v>9.81</v>
      </c>
      <c r="G174" s="1">
        <v>0.99</v>
      </c>
      <c r="I174" s="1">
        <v>8.68</v>
      </c>
      <c r="L174" s="2" t="s">
        <v>77</v>
      </c>
      <c r="M174" s="2" t="s">
        <v>212</v>
      </c>
      <c r="N174" s="2" t="s">
        <v>11</v>
      </c>
      <c r="O174" s="2">
        <v>3</v>
      </c>
      <c r="P174" s="2">
        <v>200</v>
      </c>
      <c r="Q174" s="4">
        <v>4.1172727269999996</v>
      </c>
      <c r="R174" s="4">
        <v>0.33727272699999999</v>
      </c>
      <c r="S174" s="5">
        <v>4.2009999999999996</v>
      </c>
      <c r="T174" s="5">
        <f t="shared" si="5"/>
        <v>0.71416999999999997</v>
      </c>
    </row>
    <row r="175" spans="1:21" x14ac:dyDescent="0.25">
      <c r="F175" s="1">
        <v>7.84</v>
      </c>
      <c r="G175" s="1">
        <v>0.8</v>
      </c>
      <c r="I175" s="1">
        <v>8.66</v>
      </c>
      <c r="J175" s="2" t="s">
        <v>21</v>
      </c>
      <c r="K175" s="1">
        <v>2021</v>
      </c>
      <c r="L175" s="2" t="s">
        <v>74</v>
      </c>
      <c r="N175" s="2" t="s">
        <v>11</v>
      </c>
      <c r="O175" s="2">
        <v>3</v>
      </c>
      <c r="P175" s="2">
        <v>0</v>
      </c>
      <c r="Q175" s="4">
        <v>1.4190909089999999</v>
      </c>
      <c r="R175" s="4">
        <v>5.7272727000000002E-2</v>
      </c>
      <c r="S175" s="5">
        <v>2.9430000000000001</v>
      </c>
      <c r="T175" s="5">
        <f t="shared" si="5"/>
        <v>0.50031000000000003</v>
      </c>
    </row>
    <row r="176" spans="1:21" x14ac:dyDescent="0.25">
      <c r="F176" s="1">
        <v>8.94</v>
      </c>
      <c r="G176" s="1">
        <v>1.1499999999999999</v>
      </c>
      <c r="I176" s="1">
        <v>8.32</v>
      </c>
      <c r="L176" s="2" t="s">
        <v>75</v>
      </c>
      <c r="M176" s="2" t="s">
        <v>5</v>
      </c>
      <c r="N176" s="2" t="s">
        <v>11</v>
      </c>
      <c r="O176" s="2">
        <v>3</v>
      </c>
      <c r="P176" s="2">
        <v>200</v>
      </c>
      <c r="Q176" s="4">
        <v>2.0872727270000002</v>
      </c>
      <c r="R176" s="4">
        <v>0.108181818</v>
      </c>
      <c r="S176" s="5">
        <v>8.0690000000000008</v>
      </c>
      <c r="T176" s="5">
        <f t="shared" si="5"/>
        <v>1.3717300000000003</v>
      </c>
    </row>
    <row r="177" spans="1:21" x14ac:dyDescent="0.25">
      <c r="F177" s="1">
        <v>9.7799999999999994</v>
      </c>
      <c r="G177" s="1">
        <v>1.03</v>
      </c>
      <c r="I177" s="1">
        <v>8.44</v>
      </c>
      <c r="L177" s="2" t="s">
        <v>76</v>
      </c>
      <c r="M177" s="2" t="s">
        <v>97</v>
      </c>
      <c r="N177" s="2" t="s">
        <v>11</v>
      </c>
      <c r="O177" s="2">
        <v>3</v>
      </c>
      <c r="P177" s="2">
        <v>200</v>
      </c>
      <c r="Q177" s="4">
        <v>1.858181818</v>
      </c>
      <c r="R177" s="4">
        <v>8.2727273000000004E-2</v>
      </c>
      <c r="S177" s="5">
        <v>7.5750000000000002</v>
      </c>
      <c r="T177" s="5">
        <f t="shared" si="5"/>
        <v>1.2877500000000002</v>
      </c>
    </row>
    <row r="178" spans="1:21" x14ac:dyDescent="0.25">
      <c r="F178" s="1">
        <v>9.9600000000000009</v>
      </c>
      <c r="G178" s="1">
        <v>1.07</v>
      </c>
      <c r="I178" s="1">
        <v>8.4499999999999993</v>
      </c>
      <c r="L178" s="2" t="s">
        <v>24</v>
      </c>
      <c r="M178" s="2" t="s">
        <v>151</v>
      </c>
      <c r="N178" s="2" t="s">
        <v>11</v>
      </c>
      <c r="O178" s="2">
        <v>3</v>
      </c>
      <c r="P178" s="2">
        <v>200</v>
      </c>
      <c r="Q178" s="4">
        <v>2.5709090909999999</v>
      </c>
      <c r="R178" s="4">
        <v>0.184545455</v>
      </c>
      <c r="S178" s="5">
        <v>3.4990000000000001</v>
      </c>
      <c r="T178" s="5">
        <f t="shared" si="5"/>
        <v>0.59483000000000008</v>
      </c>
    </row>
    <row r="179" spans="1:21" x14ac:dyDescent="0.25">
      <c r="F179" s="1">
        <v>11.77</v>
      </c>
      <c r="G179" s="1">
        <v>1.22</v>
      </c>
      <c r="I179" s="1">
        <v>8.5399999999999991</v>
      </c>
      <c r="L179" s="2" t="s">
        <v>77</v>
      </c>
      <c r="M179" s="2" t="s">
        <v>212</v>
      </c>
      <c r="N179" s="2" t="s">
        <v>11</v>
      </c>
      <c r="O179" s="2">
        <v>3</v>
      </c>
      <c r="P179" s="2">
        <v>200</v>
      </c>
      <c r="Q179" s="4">
        <v>2.38</v>
      </c>
      <c r="R179" s="4">
        <v>0.152727273</v>
      </c>
      <c r="S179" s="5">
        <v>3.5920000000000001</v>
      </c>
      <c r="T179" s="5">
        <f t="shared" si="5"/>
        <v>0.61064000000000007</v>
      </c>
    </row>
    <row r="180" spans="1:21" x14ac:dyDescent="0.25">
      <c r="A180" s="1" t="s">
        <v>68</v>
      </c>
      <c r="B180" s="1">
        <v>35.28</v>
      </c>
      <c r="C180" s="1">
        <v>104.44</v>
      </c>
      <c r="D180" s="1">
        <v>10.8</v>
      </c>
      <c r="E180" s="1">
        <v>400</v>
      </c>
      <c r="F180" s="1">
        <v>8.89</v>
      </c>
      <c r="G180" s="1">
        <v>0.94</v>
      </c>
      <c r="H180" s="1">
        <v>1.28</v>
      </c>
      <c r="I180" s="1">
        <v>8.3699999999999992</v>
      </c>
      <c r="J180" s="2" t="s">
        <v>21</v>
      </c>
      <c r="K180" s="1">
        <v>2020</v>
      </c>
      <c r="L180" s="2" t="s">
        <v>12</v>
      </c>
      <c r="O180" s="2">
        <v>3</v>
      </c>
      <c r="P180" s="2">
        <v>0</v>
      </c>
      <c r="Q180" s="4">
        <v>2.8254545449999999</v>
      </c>
      <c r="R180" s="4">
        <v>0.159090909</v>
      </c>
      <c r="S180" s="5">
        <v>4.032</v>
      </c>
      <c r="T180" s="5">
        <f t="shared" ref="T180:T187" si="6">S180*0.17</f>
        <v>0.68544000000000005</v>
      </c>
      <c r="U180" s="7" t="s">
        <v>236</v>
      </c>
    </row>
    <row r="181" spans="1:21" x14ac:dyDescent="0.25">
      <c r="L181" s="2" t="s">
        <v>78</v>
      </c>
      <c r="M181" s="2" t="s">
        <v>5</v>
      </c>
      <c r="O181" s="2">
        <v>3</v>
      </c>
      <c r="P181" s="2">
        <v>100</v>
      </c>
      <c r="Q181" s="4">
        <v>3.3409090909999999</v>
      </c>
      <c r="R181" s="4">
        <v>0.16545454500000001</v>
      </c>
      <c r="S181" s="5">
        <v>8.3460000000000001</v>
      </c>
      <c r="T181" s="5">
        <f t="shared" si="6"/>
        <v>1.4188200000000002</v>
      </c>
    </row>
    <row r="182" spans="1:21" x14ac:dyDescent="0.25">
      <c r="L182" s="2" t="s">
        <v>79</v>
      </c>
      <c r="M182" s="2" t="s">
        <v>5</v>
      </c>
      <c r="O182" s="2">
        <v>3</v>
      </c>
      <c r="P182" s="2">
        <v>200</v>
      </c>
      <c r="Q182" s="4">
        <v>3.9009090909999999</v>
      </c>
      <c r="R182" s="4">
        <v>0.19727272700000001</v>
      </c>
      <c r="S182" s="5">
        <v>10.542999999999999</v>
      </c>
      <c r="T182" s="5">
        <f t="shared" si="6"/>
        <v>1.7923100000000001</v>
      </c>
    </row>
    <row r="183" spans="1:21" x14ac:dyDescent="0.25">
      <c r="L183" s="2" t="s">
        <v>80</v>
      </c>
      <c r="M183" s="2" t="s">
        <v>5</v>
      </c>
      <c r="O183" s="2">
        <v>3</v>
      </c>
      <c r="P183" s="2">
        <v>300</v>
      </c>
      <c r="Q183" s="4">
        <v>4.1236363640000002</v>
      </c>
      <c r="R183" s="4">
        <v>0.35636363599999998</v>
      </c>
      <c r="S183" s="5">
        <v>11.461</v>
      </c>
      <c r="T183" s="5">
        <f t="shared" si="6"/>
        <v>1.9483700000000002</v>
      </c>
    </row>
    <row r="184" spans="1:21" x14ac:dyDescent="0.25">
      <c r="J184" s="2" t="s">
        <v>21</v>
      </c>
      <c r="K184" s="1">
        <v>2021</v>
      </c>
      <c r="L184" s="2" t="s">
        <v>12</v>
      </c>
      <c r="O184" s="2">
        <v>3</v>
      </c>
      <c r="P184" s="2">
        <v>0</v>
      </c>
      <c r="Q184" s="4">
        <v>1.5909090910000001</v>
      </c>
      <c r="R184" s="4">
        <v>0.10181818199999999</v>
      </c>
      <c r="S184" s="5">
        <v>3.4159999999999999</v>
      </c>
      <c r="T184" s="5">
        <f t="shared" si="6"/>
        <v>0.58072000000000001</v>
      </c>
    </row>
    <row r="185" spans="1:21" x14ac:dyDescent="0.25">
      <c r="L185" s="2" t="s">
        <v>78</v>
      </c>
      <c r="M185" s="2" t="s">
        <v>5</v>
      </c>
      <c r="O185" s="2">
        <v>3</v>
      </c>
      <c r="P185" s="2">
        <v>100</v>
      </c>
      <c r="Q185" s="4">
        <v>2.074545455</v>
      </c>
      <c r="R185" s="4">
        <v>0.114545455</v>
      </c>
      <c r="S185" s="5">
        <v>6.2930000000000001</v>
      </c>
      <c r="T185" s="5">
        <f t="shared" si="6"/>
        <v>1.0698100000000001</v>
      </c>
    </row>
    <row r="186" spans="1:21" x14ac:dyDescent="0.25">
      <c r="L186" s="2" t="s">
        <v>79</v>
      </c>
      <c r="M186" s="2" t="s">
        <v>5</v>
      </c>
      <c r="O186" s="2">
        <v>3</v>
      </c>
      <c r="P186" s="2">
        <v>200</v>
      </c>
      <c r="Q186" s="4">
        <v>2.5645454550000002</v>
      </c>
      <c r="R186" s="4">
        <v>0.17818181799999999</v>
      </c>
      <c r="S186" s="5">
        <v>8.7240000000000002</v>
      </c>
      <c r="T186" s="5">
        <f t="shared" si="6"/>
        <v>1.4830800000000002</v>
      </c>
    </row>
    <row r="187" spans="1:21" x14ac:dyDescent="0.25">
      <c r="L187" s="2" t="s">
        <v>80</v>
      </c>
      <c r="M187" s="2" t="s">
        <v>5</v>
      </c>
      <c r="O187" s="2">
        <v>3</v>
      </c>
      <c r="P187" s="2">
        <v>300</v>
      </c>
      <c r="Q187" s="4">
        <v>2.386363636</v>
      </c>
      <c r="R187" s="4">
        <v>0.13363636400000001</v>
      </c>
      <c r="S187" s="5">
        <v>9.3179999999999996</v>
      </c>
      <c r="T187" s="5">
        <f t="shared" si="6"/>
        <v>1.58406</v>
      </c>
    </row>
    <row r="188" spans="1:21" x14ac:dyDescent="0.25">
      <c r="A188" s="1" t="s">
        <v>68</v>
      </c>
      <c r="B188" s="1">
        <v>35.75</v>
      </c>
      <c r="C188" s="1">
        <v>107.63</v>
      </c>
      <c r="D188" s="1">
        <v>11.4</v>
      </c>
      <c r="E188" s="1">
        <v>420</v>
      </c>
      <c r="F188" s="1">
        <f>13.67*0.58</f>
        <v>7.9285999999999994</v>
      </c>
      <c r="G188" s="1">
        <v>1.18</v>
      </c>
      <c r="I188" s="1">
        <v>8.24</v>
      </c>
      <c r="J188" s="2" t="s">
        <v>21</v>
      </c>
      <c r="K188" s="1">
        <v>2017</v>
      </c>
      <c r="L188" s="2" t="s">
        <v>81</v>
      </c>
      <c r="M188" s="2" t="s">
        <v>5</v>
      </c>
      <c r="N188" s="2" t="s">
        <v>11</v>
      </c>
      <c r="O188" s="2">
        <v>3</v>
      </c>
      <c r="P188" s="2">
        <v>0</v>
      </c>
      <c r="Q188" s="4">
        <v>3.366363636</v>
      </c>
      <c r="R188" s="4">
        <v>0.74060000000000004</v>
      </c>
      <c r="S188" s="5">
        <v>7.29</v>
      </c>
      <c r="T188" s="5">
        <f t="shared" ref="T188:T199" si="7">S188*0.17</f>
        <v>1.2393000000000001</v>
      </c>
      <c r="U188" s="7" t="s">
        <v>252</v>
      </c>
    </row>
    <row r="189" spans="1:21" x14ac:dyDescent="0.25">
      <c r="L189" s="2" t="s">
        <v>82</v>
      </c>
      <c r="M189" s="2" t="s">
        <v>5</v>
      </c>
      <c r="N189" s="2" t="s">
        <v>11</v>
      </c>
      <c r="O189" s="2">
        <v>3</v>
      </c>
      <c r="P189" s="2">
        <v>120</v>
      </c>
      <c r="Q189" s="4">
        <v>3.5254545450000001</v>
      </c>
      <c r="R189" s="4">
        <v>0.77559999999999996</v>
      </c>
      <c r="S189" s="5">
        <v>10.29</v>
      </c>
      <c r="T189" s="5">
        <f t="shared" si="7"/>
        <v>1.7493000000000001</v>
      </c>
    </row>
    <row r="190" spans="1:21" x14ac:dyDescent="0.25">
      <c r="L190" s="2" t="s">
        <v>83</v>
      </c>
      <c r="M190" s="2" t="s">
        <v>5</v>
      </c>
      <c r="N190" s="2" t="s">
        <v>11</v>
      </c>
      <c r="O190" s="2">
        <v>3</v>
      </c>
      <c r="P190" s="2">
        <v>240</v>
      </c>
      <c r="Q190" s="4">
        <v>3.6845454549999999</v>
      </c>
      <c r="R190" s="4">
        <v>0.81059999999999999</v>
      </c>
      <c r="S190" s="5">
        <v>11.49</v>
      </c>
      <c r="T190" s="5">
        <f t="shared" si="7"/>
        <v>1.9533000000000003</v>
      </c>
    </row>
    <row r="191" spans="1:21" x14ac:dyDescent="0.25">
      <c r="L191" s="2" t="s">
        <v>84</v>
      </c>
      <c r="M191" s="2" t="s">
        <v>5</v>
      </c>
      <c r="N191" s="2" t="s">
        <v>11</v>
      </c>
      <c r="O191" s="2">
        <v>3</v>
      </c>
      <c r="P191" s="2">
        <v>0</v>
      </c>
      <c r="Q191" s="4">
        <v>3.0481818180000002</v>
      </c>
      <c r="R191" s="4">
        <v>0.67059999999999997</v>
      </c>
      <c r="S191" s="5">
        <v>6.19</v>
      </c>
      <c r="T191" s="5">
        <f t="shared" si="7"/>
        <v>1.0523000000000002</v>
      </c>
    </row>
    <row r="192" spans="1:21" x14ac:dyDescent="0.25">
      <c r="L192" s="2" t="s">
        <v>85</v>
      </c>
      <c r="M192" s="2" t="s">
        <v>5</v>
      </c>
      <c r="N192" s="2" t="s">
        <v>11</v>
      </c>
      <c r="O192" s="2">
        <v>3</v>
      </c>
      <c r="P192" s="2">
        <v>120</v>
      </c>
      <c r="Q192" s="4">
        <v>3.175454545</v>
      </c>
      <c r="R192" s="4">
        <v>0.6986</v>
      </c>
      <c r="S192" s="5">
        <v>7.69</v>
      </c>
      <c r="T192" s="5">
        <f t="shared" si="7"/>
        <v>1.3073000000000001</v>
      </c>
    </row>
    <row r="193" spans="1:21" x14ac:dyDescent="0.25">
      <c r="L193" s="2" t="s">
        <v>86</v>
      </c>
      <c r="M193" s="2" t="s">
        <v>5</v>
      </c>
      <c r="N193" s="2" t="s">
        <v>11</v>
      </c>
      <c r="O193" s="2">
        <v>3</v>
      </c>
      <c r="P193" s="2">
        <v>240</v>
      </c>
      <c r="Q193" s="4">
        <v>3.3027272729999999</v>
      </c>
      <c r="R193" s="4">
        <v>0.72660000000000002</v>
      </c>
      <c r="S193" s="5">
        <v>8.39</v>
      </c>
      <c r="T193" s="5">
        <f t="shared" si="7"/>
        <v>1.4263000000000001</v>
      </c>
    </row>
    <row r="194" spans="1:21" x14ac:dyDescent="0.25">
      <c r="F194" s="1">
        <f>15.33*0.58</f>
        <v>8.8913999999999991</v>
      </c>
      <c r="G194" s="1">
        <v>1.02</v>
      </c>
      <c r="I194" s="1">
        <v>8.08</v>
      </c>
      <c r="J194" s="2" t="s">
        <v>21</v>
      </c>
      <c r="K194" s="1">
        <v>2018</v>
      </c>
      <c r="L194" s="2" t="s">
        <v>81</v>
      </c>
      <c r="M194" s="2" t="s">
        <v>5</v>
      </c>
      <c r="N194" s="2" t="s">
        <v>11</v>
      </c>
      <c r="O194" s="2">
        <v>3</v>
      </c>
      <c r="P194" s="2">
        <v>0</v>
      </c>
      <c r="Q194" s="4">
        <v>2.4118181820000002</v>
      </c>
      <c r="R194" s="4">
        <v>0.53059999999999996</v>
      </c>
      <c r="S194" s="5">
        <v>6.79</v>
      </c>
      <c r="T194" s="5">
        <f t="shared" si="7"/>
        <v>1.1543000000000001</v>
      </c>
    </row>
    <row r="195" spans="1:21" x14ac:dyDescent="0.25">
      <c r="L195" s="2" t="s">
        <v>82</v>
      </c>
      <c r="M195" s="2" t="s">
        <v>5</v>
      </c>
      <c r="N195" s="2" t="s">
        <v>11</v>
      </c>
      <c r="O195" s="2">
        <v>3</v>
      </c>
      <c r="P195" s="2">
        <v>120</v>
      </c>
      <c r="Q195" s="4">
        <v>2.6663636359999998</v>
      </c>
      <c r="R195" s="4">
        <v>0.58660000000000001</v>
      </c>
      <c r="S195" s="5">
        <v>9.69</v>
      </c>
      <c r="T195" s="5">
        <f t="shared" si="7"/>
        <v>1.6473</v>
      </c>
    </row>
    <row r="196" spans="1:21" x14ac:dyDescent="0.25">
      <c r="L196" s="2" t="s">
        <v>83</v>
      </c>
      <c r="M196" s="2" t="s">
        <v>5</v>
      </c>
      <c r="N196" s="2" t="s">
        <v>11</v>
      </c>
      <c r="O196" s="2">
        <v>3</v>
      </c>
      <c r="P196" s="2">
        <v>240</v>
      </c>
      <c r="Q196" s="4">
        <v>2.920909091</v>
      </c>
      <c r="R196" s="4">
        <v>0.64259999999999995</v>
      </c>
      <c r="S196" s="5">
        <v>11.09</v>
      </c>
      <c r="T196" s="5">
        <f t="shared" si="7"/>
        <v>1.8853000000000002</v>
      </c>
    </row>
    <row r="197" spans="1:21" x14ac:dyDescent="0.25">
      <c r="L197" s="2" t="s">
        <v>84</v>
      </c>
      <c r="M197" s="2" t="s">
        <v>5</v>
      </c>
      <c r="N197" s="2" t="s">
        <v>11</v>
      </c>
      <c r="O197" s="2">
        <v>3</v>
      </c>
      <c r="P197" s="2">
        <v>0</v>
      </c>
      <c r="Q197" s="4">
        <v>2.539090909</v>
      </c>
      <c r="R197" s="4">
        <v>0.55859999999999999</v>
      </c>
      <c r="S197" s="5">
        <v>6.29</v>
      </c>
      <c r="T197" s="5">
        <f t="shared" si="7"/>
        <v>1.0693000000000001</v>
      </c>
    </row>
    <row r="198" spans="1:21" x14ac:dyDescent="0.25">
      <c r="L198" s="2" t="s">
        <v>85</v>
      </c>
      <c r="M198" s="2" t="s">
        <v>5</v>
      </c>
      <c r="N198" s="2" t="s">
        <v>11</v>
      </c>
      <c r="O198" s="2">
        <v>3</v>
      </c>
      <c r="P198" s="2">
        <v>120</v>
      </c>
      <c r="Q198" s="4">
        <v>2.6663636359999998</v>
      </c>
      <c r="R198" s="4">
        <v>0.58660000000000001</v>
      </c>
      <c r="S198" s="5">
        <v>8.09</v>
      </c>
      <c r="T198" s="5">
        <f t="shared" si="7"/>
        <v>1.3753</v>
      </c>
    </row>
    <row r="199" spans="1:21" x14ac:dyDescent="0.25">
      <c r="L199" s="2" t="s">
        <v>86</v>
      </c>
      <c r="M199" s="2" t="s">
        <v>5</v>
      </c>
      <c r="N199" s="2" t="s">
        <v>11</v>
      </c>
      <c r="O199" s="2">
        <v>3</v>
      </c>
      <c r="P199" s="2">
        <v>240</v>
      </c>
      <c r="Q199" s="4">
        <v>2.7936363640000001</v>
      </c>
      <c r="R199" s="4">
        <v>0.61460000000000004</v>
      </c>
      <c r="S199" s="5">
        <v>8.2899999999999991</v>
      </c>
      <c r="T199" s="5">
        <f t="shared" si="7"/>
        <v>1.4093</v>
      </c>
    </row>
    <row r="200" spans="1:21" x14ac:dyDescent="0.25">
      <c r="A200" s="1" t="s">
        <v>68</v>
      </c>
      <c r="B200" s="1">
        <v>35.28</v>
      </c>
      <c r="C200" s="1">
        <v>104.44</v>
      </c>
      <c r="D200" s="1">
        <v>6.4</v>
      </c>
      <c r="E200" s="1">
        <v>391</v>
      </c>
      <c r="F200" s="1">
        <f>11.9*0.58</f>
        <v>6.9020000000000001</v>
      </c>
      <c r="G200" s="1">
        <v>0.8</v>
      </c>
      <c r="I200" s="1">
        <v>8.4</v>
      </c>
      <c r="J200" s="2" t="s">
        <v>21</v>
      </c>
      <c r="K200" s="1">
        <v>2021</v>
      </c>
      <c r="L200" s="2" t="s">
        <v>87</v>
      </c>
      <c r="M200" s="2" t="s">
        <v>5</v>
      </c>
      <c r="O200" s="2">
        <v>3</v>
      </c>
      <c r="P200" s="2">
        <v>200</v>
      </c>
      <c r="Q200" s="4">
        <v>1.05</v>
      </c>
      <c r="R200" s="4">
        <v>0.09</v>
      </c>
      <c r="S200" s="5">
        <v>8.4</v>
      </c>
      <c r="T200" s="5">
        <v>0.2</v>
      </c>
      <c r="U200" s="7" t="s">
        <v>237</v>
      </c>
    </row>
    <row r="201" spans="1:21" x14ac:dyDescent="0.25">
      <c r="L201" s="2" t="s">
        <v>88</v>
      </c>
      <c r="M201" s="2" t="s">
        <v>97</v>
      </c>
      <c r="O201" s="2">
        <v>3</v>
      </c>
      <c r="P201" s="2">
        <v>200</v>
      </c>
      <c r="Q201" s="4">
        <v>0.62</v>
      </c>
      <c r="R201" s="4">
        <v>0.03</v>
      </c>
      <c r="S201" s="5">
        <v>8</v>
      </c>
      <c r="T201" s="5">
        <v>0.2</v>
      </c>
    </row>
    <row r="202" spans="1:21" x14ac:dyDescent="0.25">
      <c r="L202" s="2" t="s">
        <v>89</v>
      </c>
      <c r="M202" s="2" t="s">
        <v>97</v>
      </c>
      <c r="O202" s="2">
        <v>3</v>
      </c>
      <c r="P202" s="2">
        <v>200</v>
      </c>
      <c r="Q202" s="4">
        <v>0.8</v>
      </c>
      <c r="R202" s="4">
        <v>0.05</v>
      </c>
      <c r="S202" s="5">
        <v>8.1</v>
      </c>
      <c r="T202" s="5">
        <v>0.1</v>
      </c>
    </row>
    <row r="203" spans="1:21" x14ac:dyDescent="0.25">
      <c r="L203" s="2" t="s">
        <v>90</v>
      </c>
      <c r="M203" s="2" t="s">
        <v>97</v>
      </c>
      <c r="O203" s="2">
        <v>3</v>
      </c>
      <c r="P203" s="2">
        <v>200</v>
      </c>
      <c r="Q203" s="4">
        <v>0.87</v>
      </c>
      <c r="R203" s="4">
        <v>0.04</v>
      </c>
      <c r="S203" s="5">
        <v>5.7</v>
      </c>
      <c r="T203" s="5">
        <v>0.1</v>
      </c>
    </row>
    <row r="204" spans="1:21" x14ac:dyDescent="0.25">
      <c r="L204" s="2" t="s">
        <v>91</v>
      </c>
      <c r="M204" s="2" t="s">
        <v>97</v>
      </c>
      <c r="O204" s="2">
        <v>3</v>
      </c>
      <c r="P204" s="2">
        <v>200</v>
      </c>
      <c r="Q204" s="4">
        <v>0.91</v>
      </c>
      <c r="R204" s="4">
        <v>0.24</v>
      </c>
      <c r="S204" s="5">
        <v>8.1</v>
      </c>
      <c r="T204" s="5">
        <v>0.2</v>
      </c>
    </row>
    <row r="205" spans="1:21" x14ac:dyDescent="0.25">
      <c r="L205" s="2" t="s">
        <v>92</v>
      </c>
      <c r="O205" s="2">
        <v>3</v>
      </c>
      <c r="P205" s="2">
        <v>0</v>
      </c>
      <c r="Q205" s="4">
        <v>0.38</v>
      </c>
      <c r="R205" s="4">
        <v>0.12</v>
      </c>
      <c r="S205" s="5">
        <v>2.5</v>
      </c>
      <c r="T205" s="5">
        <v>0.2</v>
      </c>
    </row>
    <row r="206" spans="1:21" x14ac:dyDescent="0.25">
      <c r="J206" s="2" t="s">
        <v>21</v>
      </c>
      <c r="K206" s="1">
        <v>2022</v>
      </c>
      <c r="L206" s="2" t="s">
        <v>87</v>
      </c>
      <c r="M206" s="2" t="s">
        <v>5</v>
      </c>
      <c r="O206" s="2">
        <v>3</v>
      </c>
      <c r="P206" s="2">
        <v>200</v>
      </c>
      <c r="Q206" s="4">
        <v>1.34</v>
      </c>
      <c r="R206" s="4">
        <v>0.04</v>
      </c>
      <c r="S206" s="5">
        <v>5.7</v>
      </c>
      <c r="T206" s="5">
        <v>0.4</v>
      </c>
    </row>
    <row r="207" spans="1:21" x14ac:dyDescent="0.25">
      <c r="L207" s="2" t="s">
        <v>88</v>
      </c>
      <c r="M207" s="2" t="s">
        <v>97</v>
      </c>
      <c r="O207" s="2">
        <v>3</v>
      </c>
      <c r="P207" s="2">
        <v>200</v>
      </c>
      <c r="Q207" s="4">
        <v>1.01</v>
      </c>
      <c r="R207" s="4">
        <v>0.1</v>
      </c>
      <c r="S207" s="5">
        <v>5.4</v>
      </c>
      <c r="T207" s="5">
        <v>0.5</v>
      </c>
    </row>
    <row r="208" spans="1:21" x14ac:dyDescent="0.25">
      <c r="L208" s="2" t="s">
        <v>89</v>
      </c>
      <c r="M208" s="2" t="s">
        <v>97</v>
      </c>
      <c r="O208" s="2">
        <v>3</v>
      </c>
      <c r="P208" s="2">
        <v>200</v>
      </c>
      <c r="Q208" s="4">
        <v>1.1000000000000001</v>
      </c>
      <c r="R208" s="4">
        <v>0.04</v>
      </c>
      <c r="S208" s="5">
        <v>6.4</v>
      </c>
      <c r="T208" s="5">
        <v>0.3</v>
      </c>
    </row>
    <row r="209" spans="1:21" x14ac:dyDescent="0.25">
      <c r="L209" s="2" t="s">
        <v>90</v>
      </c>
      <c r="M209" s="2" t="s">
        <v>97</v>
      </c>
      <c r="O209" s="2">
        <v>3</v>
      </c>
      <c r="P209" s="2">
        <v>200</v>
      </c>
      <c r="Q209" s="4">
        <v>1.1499999999999999</v>
      </c>
      <c r="R209" s="4">
        <v>0.03</v>
      </c>
      <c r="S209" s="5">
        <v>4.5</v>
      </c>
      <c r="T209" s="5">
        <v>0.6</v>
      </c>
    </row>
    <row r="210" spans="1:21" x14ac:dyDescent="0.25">
      <c r="L210" s="2" t="s">
        <v>91</v>
      </c>
      <c r="M210" s="2" t="s">
        <v>97</v>
      </c>
      <c r="O210" s="2">
        <v>3</v>
      </c>
      <c r="P210" s="2">
        <v>200</v>
      </c>
      <c r="Q210" s="4">
        <v>1.24</v>
      </c>
      <c r="R210" s="4">
        <v>1</v>
      </c>
      <c r="S210" s="5">
        <v>4.9000000000000004</v>
      </c>
      <c r="T210" s="5">
        <v>0.7</v>
      </c>
    </row>
    <row r="211" spans="1:21" x14ac:dyDescent="0.25">
      <c r="L211" s="2" t="s">
        <v>92</v>
      </c>
      <c r="O211" s="2">
        <v>3</v>
      </c>
      <c r="P211" s="2">
        <v>0</v>
      </c>
      <c r="Q211" s="4">
        <v>0.57999999999999996</v>
      </c>
      <c r="R211" s="4">
        <v>0.06</v>
      </c>
      <c r="S211" s="5">
        <v>2.7</v>
      </c>
      <c r="T211" s="5">
        <v>0.4</v>
      </c>
    </row>
    <row r="212" spans="1:21" x14ac:dyDescent="0.25">
      <c r="A212" s="1" t="s">
        <v>2</v>
      </c>
      <c r="B212" s="1" t="s">
        <v>93</v>
      </c>
      <c r="C212" s="1" t="s">
        <v>94</v>
      </c>
      <c r="D212" s="1">
        <v>9.1</v>
      </c>
      <c r="E212" s="1">
        <v>529</v>
      </c>
      <c r="F212" s="1">
        <v>9.3699999999999992</v>
      </c>
      <c r="G212" s="1">
        <v>0.99</v>
      </c>
      <c r="H212" s="1">
        <v>1.3</v>
      </c>
      <c r="I212" s="1">
        <v>8</v>
      </c>
      <c r="J212" s="2" t="s">
        <v>95</v>
      </c>
      <c r="K212" s="1" t="s">
        <v>96</v>
      </c>
      <c r="L212" s="2" t="s">
        <v>55</v>
      </c>
      <c r="M212" s="2" t="s">
        <v>5</v>
      </c>
      <c r="O212" s="2">
        <v>3</v>
      </c>
      <c r="P212" s="2">
        <v>180</v>
      </c>
      <c r="Q212" s="4">
        <v>0.53</v>
      </c>
      <c r="R212" s="4">
        <v>0.01</v>
      </c>
      <c r="S212" s="5">
        <v>4.8</v>
      </c>
      <c r="T212" s="5">
        <v>0.35</v>
      </c>
      <c r="U212" s="7" t="s">
        <v>253</v>
      </c>
    </row>
    <row r="213" spans="1:21" x14ac:dyDescent="0.25">
      <c r="L213" s="2" t="s">
        <v>22</v>
      </c>
      <c r="M213" s="2" t="s">
        <v>97</v>
      </c>
      <c r="O213" s="2">
        <v>3</v>
      </c>
      <c r="P213" s="2">
        <v>150</v>
      </c>
      <c r="Q213" s="4">
        <v>0.36</v>
      </c>
      <c r="R213" s="4">
        <v>0.03</v>
      </c>
      <c r="S213" s="5">
        <v>6</v>
      </c>
      <c r="T213" s="5">
        <v>0.41</v>
      </c>
    </row>
    <row r="214" spans="1:21" x14ac:dyDescent="0.25">
      <c r="L214" s="2" t="s">
        <v>98</v>
      </c>
      <c r="M214" s="2" t="s">
        <v>5</v>
      </c>
      <c r="O214" s="2">
        <v>3</v>
      </c>
      <c r="P214" s="2">
        <v>150</v>
      </c>
      <c r="Q214" s="4">
        <v>0.39</v>
      </c>
      <c r="R214" s="4">
        <v>0.02</v>
      </c>
      <c r="S214" s="5">
        <v>6</v>
      </c>
      <c r="T214" s="5">
        <v>0.17</v>
      </c>
    </row>
    <row r="215" spans="1:21" x14ac:dyDescent="0.25">
      <c r="K215" s="1" t="s">
        <v>99</v>
      </c>
      <c r="L215" s="2" t="s">
        <v>55</v>
      </c>
      <c r="M215" s="2" t="s">
        <v>5</v>
      </c>
      <c r="O215" s="2">
        <v>3</v>
      </c>
      <c r="P215" s="2">
        <v>180</v>
      </c>
      <c r="Q215" s="4">
        <v>0.6</v>
      </c>
      <c r="R215" s="4">
        <v>3.7999999999999999E-2</v>
      </c>
      <c r="S215" s="5">
        <v>4.9000000000000004</v>
      </c>
      <c r="T215" s="5">
        <v>0.3</v>
      </c>
    </row>
    <row r="216" spans="1:21" x14ac:dyDescent="0.25">
      <c r="L216" s="2" t="s">
        <v>22</v>
      </c>
      <c r="M216" s="2" t="s">
        <v>97</v>
      </c>
      <c r="O216" s="2">
        <v>3</v>
      </c>
      <c r="P216" s="2">
        <v>150</v>
      </c>
      <c r="Q216" s="4">
        <v>0.52</v>
      </c>
      <c r="R216" s="4">
        <v>1.7000000000000001E-2</v>
      </c>
      <c r="S216" s="5">
        <v>6.2</v>
      </c>
      <c r="T216" s="5">
        <v>0.28000000000000003</v>
      </c>
    </row>
    <row r="217" spans="1:21" x14ac:dyDescent="0.25">
      <c r="L217" s="2" t="s">
        <v>98</v>
      </c>
      <c r="M217" s="2" t="s">
        <v>5</v>
      </c>
      <c r="O217" s="2">
        <v>3</v>
      </c>
      <c r="P217" s="2">
        <v>150</v>
      </c>
      <c r="Q217" s="4">
        <v>0.56999999999999995</v>
      </c>
      <c r="R217" s="4">
        <v>0.04</v>
      </c>
      <c r="S217" s="5">
        <v>6.84</v>
      </c>
      <c r="T217" s="5">
        <v>0.23</v>
      </c>
    </row>
    <row r="218" spans="1:21" x14ac:dyDescent="0.25">
      <c r="A218" s="1" t="s">
        <v>2</v>
      </c>
      <c r="B218" s="1">
        <v>35.19</v>
      </c>
      <c r="C218" s="1">
        <v>110.4</v>
      </c>
      <c r="D218" s="1">
        <v>12.5</v>
      </c>
      <c r="E218" s="1">
        <v>510</v>
      </c>
      <c r="F218" s="1">
        <v>8.4</v>
      </c>
      <c r="G218" s="1">
        <v>0.98</v>
      </c>
      <c r="H218" s="1">
        <v>1.32</v>
      </c>
      <c r="J218" s="2" t="s">
        <v>95</v>
      </c>
      <c r="K218" s="1" t="s">
        <v>100</v>
      </c>
      <c r="L218" s="2" t="s">
        <v>12</v>
      </c>
      <c r="M218" s="2" t="s">
        <v>5</v>
      </c>
      <c r="O218" s="2">
        <v>3</v>
      </c>
      <c r="P218" s="2">
        <v>0</v>
      </c>
      <c r="Q218" s="4">
        <v>0.54</v>
      </c>
      <c r="R218" s="4">
        <v>5.7000000000000002E-2</v>
      </c>
      <c r="S218" s="5">
        <v>3.0049999999999999</v>
      </c>
      <c r="T218" s="5">
        <v>0.28599999999999998</v>
      </c>
      <c r="U218" s="7" t="s">
        <v>238</v>
      </c>
    </row>
    <row r="219" spans="1:21" x14ac:dyDescent="0.25">
      <c r="L219" s="2" t="s">
        <v>56</v>
      </c>
      <c r="M219" s="2" t="s">
        <v>5</v>
      </c>
      <c r="O219" s="2">
        <v>3</v>
      </c>
      <c r="P219" s="2">
        <v>120</v>
      </c>
      <c r="Q219" s="4">
        <v>0.86</v>
      </c>
      <c r="R219" s="4">
        <v>7.0000000000000007E-2</v>
      </c>
      <c r="S219" s="5">
        <v>4.0590000000000002</v>
      </c>
      <c r="T219" s="5">
        <v>0.23499999999999999</v>
      </c>
    </row>
    <row r="220" spans="1:21" x14ac:dyDescent="0.25">
      <c r="L220" s="2" t="s">
        <v>101</v>
      </c>
      <c r="M220" s="2" t="s">
        <v>5</v>
      </c>
      <c r="O220" s="2">
        <v>3</v>
      </c>
      <c r="P220" s="2">
        <v>180</v>
      </c>
      <c r="Q220" s="4">
        <v>1.24</v>
      </c>
      <c r="R220" s="4">
        <v>3.5999999999999997E-2</v>
      </c>
      <c r="S220" s="5">
        <v>4.92</v>
      </c>
      <c r="T220" s="5">
        <v>0.187</v>
      </c>
    </row>
    <row r="221" spans="1:21" x14ac:dyDescent="0.25">
      <c r="L221" s="2" t="s">
        <v>102</v>
      </c>
      <c r="M221" s="2" t="s">
        <v>5</v>
      </c>
      <c r="O221" s="2">
        <v>3</v>
      </c>
      <c r="P221" s="2">
        <v>240</v>
      </c>
      <c r="Q221" s="4">
        <v>1.48</v>
      </c>
      <c r="R221" s="4">
        <v>0.24</v>
      </c>
      <c r="S221" s="5">
        <v>4.6920000000000002</v>
      </c>
      <c r="T221" s="5">
        <v>0.156</v>
      </c>
    </row>
    <row r="222" spans="1:21" x14ac:dyDescent="0.25">
      <c r="L222" s="2" t="s">
        <v>103</v>
      </c>
      <c r="M222" s="2" t="s">
        <v>97</v>
      </c>
      <c r="O222" s="2">
        <v>3</v>
      </c>
      <c r="P222" s="2">
        <v>120</v>
      </c>
      <c r="Q222" s="4">
        <v>0.73</v>
      </c>
      <c r="R222" s="4">
        <v>0.17499999999999999</v>
      </c>
      <c r="S222" s="5">
        <v>4.5540000000000003</v>
      </c>
      <c r="T222" s="5">
        <v>0.21199999999999999</v>
      </c>
    </row>
    <row r="223" spans="1:21" x14ac:dyDescent="0.25">
      <c r="L223" s="2" t="s">
        <v>104</v>
      </c>
      <c r="M223" s="2" t="s">
        <v>97</v>
      </c>
      <c r="O223" s="2">
        <v>3</v>
      </c>
      <c r="P223" s="2">
        <v>180</v>
      </c>
      <c r="Q223" s="4">
        <v>1</v>
      </c>
      <c r="R223" s="4">
        <v>5.2999999999999999E-2</v>
      </c>
      <c r="S223" s="5">
        <v>5.5460000000000003</v>
      </c>
      <c r="T223" s="5">
        <v>0.125</v>
      </c>
    </row>
    <row r="224" spans="1:21" x14ac:dyDescent="0.25">
      <c r="L224" s="2" t="s">
        <v>105</v>
      </c>
      <c r="M224" s="2" t="s">
        <v>97</v>
      </c>
      <c r="O224" s="2">
        <v>3</v>
      </c>
      <c r="P224" s="2">
        <v>240</v>
      </c>
      <c r="Q224" s="4">
        <v>1.42</v>
      </c>
      <c r="R224" s="4">
        <v>6.3E-2</v>
      </c>
      <c r="S224" s="5">
        <v>5.09</v>
      </c>
      <c r="T224" s="5">
        <v>0.158</v>
      </c>
    </row>
    <row r="225" spans="1:21" x14ac:dyDescent="0.25">
      <c r="J225" s="2" t="s">
        <v>95</v>
      </c>
      <c r="K225" s="1" t="s">
        <v>106</v>
      </c>
      <c r="L225" s="2" t="s">
        <v>12</v>
      </c>
      <c r="M225" s="2" t="s">
        <v>5</v>
      </c>
      <c r="O225" s="2">
        <v>3</v>
      </c>
      <c r="P225" s="2">
        <v>0</v>
      </c>
      <c r="Q225" s="4">
        <v>0.51</v>
      </c>
      <c r="R225" s="4">
        <v>4.3999999999999997E-2</v>
      </c>
      <c r="S225" s="5">
        <v>3.6520000000000001</v>
      </c>
      <c r="T225" s="5">
        <v>0.34</v>
      </c>
    </row>
    <row r="226" spans="1:21" x14ac:dyDescent="0.25">
      <c r="L226" s="2" t="s">
        <v>56</v>
      </c>
      <c r="M226" s="2" t="s">
        <v>5</v>
      </c>
      <c r="O226" s="2">
        <v>3</v>
      </c>
      <c r="P226" s="2">
        <v>120</v>
      </c>
      <c r="Q226" s="4">
        <v>0.84</v>
      </c>
      <c r="R226" s="4">
        <v>1.7000000000000001E-2</v>
      </c>
      <c r="S226" s="5">
        <v>4.8479999999999999</v>
      </c>
      <c r="T226" s="5">
        <v>0.23200000000000001</v>
      </c>
    </row>
    <row r="227" spans="1:21" x14ac:dyDescent="0.25">
      <c r="L227" s="2" t="s">
        <v>101</v>
      </c>
      <c r="M227" s="2" t="s">
        <v>5</v>
      </c>
      <c r="O227" s="2">
        <v>3</v>
      </c>
      <c r="P227" s="2">
        <v>180</v>
      </c>
      <c r="Q227" s="4">
        <v>1.1299999999999999</v>
      </c>
      <c r="R227" s="4">
        <v>1.7000000000000001E-2</v>
      </c>
      <c r="S227" s="5">
        <v>6.0380000000000003</v>
      </c>
      <c r="T227" s="5">
        <v>0.32300000000000001</v>
      </c>
    </row>
    <row r="228" spans="1:21" x14ac:dyDescent="0.25">
      <c r="L228" s="2" t="s">
        <v>102</v>
      </c>
      <c r="M228" s="2" t="s">
        <v>5</v>
      </c>
      <c r="O228" s="2">
        <v>3</v>
      </c>
      <c r="P228" s="2">
        <v>240</v>
      </c>
      <c r="Q228" s="4">
        <v>1.33</v>
      </c>
      <c r="R228" s="4">
        <v>0.121</v>
      </c>
      <c r="S228" s="5">
        <v>5.6379999999999999</v>
      </c>
      <c r="T228" s="5">
        <v>0.125</v>
      </c>
    </row>
    <row r="229" spans="1:21" x14ac:dyDescent="0.25">
      <c r="L229" s="2" t="s">
        <v>103</v>
      </c>
      <c r="M229" s="2" t="s">
        <v>97</v>
      </c>
      <c r="O229" s="2">
        <v>3</v>
      </c>
      <c r="P229" s="2">
        <v>120</v>
      </c>
      <c r="Q229" s="4">
        <v>0.76</v>
      </c>
      <c r="R229" s="4">
        <v>4.5999999999999999E-2</v>
      </c>
      <c r="S229" s="5">
        <v>5.0359999999999996</v>
      </c>
      <c r="T229" s="5">
        <v>0.218</v>
      </c>
    </row>
    <row r="230" spans="1:21" x14ac:dyDescent="0.25">
      <c r="L230" s="2" t="s">
        <v>104</v>
      </c>
      <c r="M230" s="2" t="s">
        <v>97</v>
      </c>
      <c r="O230" s="2">
        <v>3</v>
      </c>
      <c r="P230" s="2">
        <v>180</v>
      </c>
      <c r="Q230" s="4">
        <v>0.91</v>
      </c>
      <c r="R230" s="4">
        <v>1.2E-2</v>
      </c>
      <c r="S230" s="5">
        <v>6.4980000000000002</v>
      </c>
      <c r="T230" s="5">
        <v>0.315</v>
      </c>
    </row>
    <row r="231" spans="1:21" x14ac:dyDescent="0.25">
      <c r="L231" s="2" t="s">
        <v>105</v>
      </c>
      <c r="M231" s="2" t="s">
        <v>97</v>
      </c>
      <c r="O231" s="2">
        <v>3</v>
      </c>
      <c r="P231" s="2">
        <v>240</v>
      </c>
      <c r="Q231" s="4">
        <v>1.21</v>
      </c>
      <c r="R231" s="4">
        <v>7.4999999999999997E-2</v>
      </c>
      <c r="S231" s="5">
        <v>5.98</v>
      </c>
      <c r="T231" s="5">
        <v>0.23400000000000001</v>
      </c>
    </row>
    <row r="232" spans="1:21" x14ac:dyDescent="0.25">
      <c r="A232" s="1" t="s">
        <v>2</v>
      </c>
      <c r="B232" s="1">
        <v>35.14</v>
      </c>
      <c r="C232" s="1">
        <v>107.41</v>
      </c>
      <c r="D232" s="1">
        <v>9.1</v>
      </c>
      <c r="E232" s="1">
        <v>565</v>
      </c>
      <c r="F232" s="1">
        <v>5.79</v>
      </c>
      <c r="G232" s="1">
        <v>0.95</v>
      </c>
      <c r="H232" s="1">
        <v>1.35</v>
      </c>
      <c r="I232" s="1">
        <v>8.35</v>
      </c>
      <c r="J232" s="2" t="s">
        <v>95</v>
      </c>
      <c r="K232" s="1" t="s">
        <v>107</v>
      </c>
      <c r="M232" s="2" t="s">
        <v>5</v>
      </c>
      <c r="O232" s="2">
        <v>3</v>
      </c>
      <c r="P232" s="2">
        <v>138</v>
      </c>
      <c r="Q232" s="4">
        <v>1.3618181819999999</v>
      </c>
      <c r="R232" s="4">
        <v>4.5181817999999999E-2</v>
      </c>
      <c r="U232" s="7" t="s">
        <v>239</v>
      </c>
    </row>
    <row r="233" spans="1:21" x14ac:dyDescent="0.25">
      <c r="A233" s="1" t="s">
        <v>2</v>
      </c>
      <c r="B233" s="1">
        <v>35.119999999999997</v>
      </c>
      <c r="C233" s="1">
        <v>107.45</v>
      </c>
      <c r="D233" s="1">
        <v>9.1</v>
      </c>
      <c r="E233" s="1">
        <v>579</v>
      </c>
      <c r="F233" s="1">
        <f>14.7*0.58</f>
        <v>8.5259999999999998</v>
      </c>
      <c r="I233" s="1">
        <v>8.1999999999999993</v>
      </c>
      <c r="J233" s="2" t="s">
        <v>95</v>
      </c>
      <c r="K233" s="1" t="s">
        <v>108</v>
      </c>
      <c r="L233" s="2" t="s">
        <v>7</v>
      </c>
      <c r="O233" s="2">
        <v>4</v>
      </c>
      <c r="P233" s="2">
        <v>150</v>
      </c>
      <c r="Q233" s="4">
        <v>0.71</v>
      </c>
      <c r="R233" s="4">
        <v>7.1999999999999995E-2</v>
      </c>
      <c r="U233" s="7" t="s">
        <v>240</v>
      </c>
    </row>
    <row r="234" spans="1:21" x14ac:dyDescent="0.25">
      <c r="L234" s="2" t="s">
        <v>6</v>
      </c>
      <c r="M234" s="2" t="s">
        <v>109</v>
      </c>
      <c r="O234" s="2">
        <v>4</v>
      </c>
      <c r="P234" s="2">
        <v>150</v>
      </c>
      <c r="Q234" s="4">
        <v>1.06</v>
      </c>
      <c r="R234" s="4">
        <v>8.3000000000000004E-2</v>
      </c>
    </row>
    <row r="235" spans="1:21" x14ac:dyDescent="0.25">
      <c r="L235" s="2" t="s">
        <v>110</v>
      </c>
      <c r="M235" s="2" t="s">
        <v>213</v>
      </c>
      <c r="N235" s="2" t="s">
        <v>111</v>
      </c>
      <c r="O235" s="2">
        <v>4</v>
      </c>
      <c r="P235" s="2">
        <v>150</v>
      </c>
      <c r="Q235" s="4">
        <v>1.1399999999999999</v>
      </c>
      <c r="R235" s="4">
        <v>0.14000000000000001</v>
      </c>
    </row>
    <row r="236" spans="1:21" x14ac:dyDescent="0.25">
      <c r="J236" s="2" t="s">
        <v>95</v>
      </c>
      <c r="K236" s="1" t="s">
        <v>96</v>
      </c>
      <c r="L236" s="2" t="s">
        <v>7</v>
      </c>
      <c r="O236" s="2">
        <v>4</v>
      </c>
      <c r="P236" s="2">
        <v>150</v>
      </c>
      <c r="Q236" s="4">
        <v>0.52</v>
      </c>
      <c r="R236" s="4">
        <v>4.4999999999999998E-2</v>
      </c>
    </row>
    <row r="237" spans="1:21" x14ac:dyDescent="0.25">
      <c r="L237" s="2" t="s">
        <v>6</v>
      </c>
      <c r="M237" s="2" t="s">
        <v>109</v>
      </c>
      <c r="O237" s="2">
        <v>4</v>
      </c>
      <c r="P237" s="2">
        <v>150</v>
      </c>
      <c r="Q237" s="4">
        <v>0.83</v>
      </c>
      <c r="R237" s="4">
        <v>8.1000000000000003E-2</v>
      </c>
    </row>
    <row r="238" spans="1:21" x14ac:dyDescent="0.25">
      <c r="L238" s="2" t="s">
        <v>110</v>
      </c>
      <c r="M238" s="2" t="s">
        <v>213</v>
      </c>
      <c r="N238" s="2" t="s">
        <v>111</v>
      </c>
      <c r="O238" s="2">
        <v>4</v>
      </c>
      <c r="P238" s="2">
        <v>150</v>
      </c>
      <c r="Q238" s="4">
        <v>0.85</v>
      </c>
      <c r="R238" s="4">
        <v>8.2000000000000003E-2</v>
      </c>
    </row>
    <row r="239" spans="1:21" x14ac:dyDescent="0.25">
      <c r="A239" s="1" t="s">
        <v>68</v>
      </c>
      <c r="B239" s="1">
        <v>35.28</v>
      </c>
      <c r="C239" s="1">
        <v>104.44</v>
      </c>
      <c r="D239" s="1">
        <v>6.3</v>
      </c>
      <c r="E239" s="1">
        <v>391</v>
      </c>
      <c r="F239" s="1">
        <v>7.72</v>
      </c>
      <c r="H239" s="1">
        <v>1.21</v>
      </c>
      <c r="I239" s="1">
        <v>8.3000000000000007</v>
      </c>
      <c r="J239" s="2" t="s">
        <v>112</v>
      </c>
      <c r="K239" s="1">
        <v>2013</v>
      </c>
      <c r="L239" s="2" t="s">
        <v>113</v>
      </c>
      <c r="M239" s="2" t="s">
        <v>5</v>
      </c>
      <c r="N239" s="2" t="s">
        <v>114</v>
      </c>
      <c r="O239" s="2">
        <v>3</v>
      </c>
      <c r="P239" s="2">
        <v>105</v>
      </c>
      <c r="Q239" s="4">
        <v>1.764</v>
      </c>
      <c r="R239" s="4">
        <v>0.28223999999999999</v>
      </c>
      <c r="S239" s="5">
        <v>1.22</v>
      </c>
      <c r="T239" s="5">
        <f>0.11*SQRT(O239)</f>
        <v>0.1905255888325765</v>
      </c>
      <c r="U239" s="7" t="s">
        <v>242</v>
      </c>
    </row>
    <row r="240" spans="1:21" x14ac:dyDescent="0.25">
      <c r="F240" s="1">
        <v>8.24</v>
      </c>
      <c r="H240" s="1">
        <v>1.1599999999999999</v>
      </c>
      <c r="L240" s="2" t="s">
        <v>115</v>
      </c>
      <c r="M240" s="2" t="s">
        <v>5</v>
      </c>
      <c r="N240" s="2" t="s">
        <v>116</v>
      </c>
      <c r="O240" s="2">
        <v>3</v>
      </c>
      <c r="P240" s="2">
        <v>105</v>
      </c>
      <c r="Q240" s="4">
        <v>1.5349090910000001</v>
      </c>
      <c r="R240" s="4">
        <v>0.24558545500000001</v>
      </c>
      <c r="S240" s="5">
        <v>1.42</v>
      </c>
      <c r="T240" s="5">
        <f>0.05*SQRT(O240)</f>
        <v>8.6602540378443865E-2</v>
      </c>
    </row>
    <row r="241" spans="1:21" x14ac:dyDescent="0.25">
      <c r="F241" s="1">
        <v>10.19</v>
      </c>
      <c r="H241" s="1">
        <v>1.05</v>
      </c>
      <c r="L241" s="2" t="s">
        <v>117</v>
      </c>
      <c r="M241" s="2" t="s">
        <v>212</v>
      </c>
      <c r="N241" s="2" t="s">
        <v>118</v>
      </c>
      <c r="O241" s="2">
        <v>3</v>
      </c>
      <c r="P241" s="2">
        <v>105</v>
      </c>
      <c r="Q241" s="4">
        <v>1.237090909</v>
      </c>
      <c r="R241" s="4">
        <v>0.19793454499999999</v>
      </c>
      <c r="S241" s="5">
        <v>1.71</v>
      </c>
      <c r="T241" s="5">
        <f>0.03*SQRT(O241)</f>
        <v>5.1961524227066312E-2</v>
      </c>
    </row>
    <row r="242" spans="1:21" x14ac:dyDescent="0.25">
      <c r="F242" s="1">
        <v>9.0500000000000007</v>
      </c>
      <c r="H242" s="1">
        <v>1.1000000000000001</v>
      </c>
      <c r="L242" s="2" t="s">
        <v>119</v>
      </c>
      <c r="M242" s="2" t="s">
        <v>212</v>
      </c>
      <c r="N242" s="2" t="s">
        <v>120</v>
      </c>
      <c r="O242" s="2">
        <v>3</v>
      </c>
      <c r="P242" s="2">
        <v>105</v>
      </c>
      <c r="Q242" s="4">
        <v>1.489090909</v>
      </c>
      <c r="R242" s="4">
        <v>0.23825454500000001</v>
      </c>
      <c r="S242" s="5">
        <v>1.52</v>
      </c>
      <c r="T242" s="5">
        <f>0.05*SQRT(O242)</f>
        <v>8.6602540378443865E-2</v>
      </c>
    </row>
    <row r="243" spans="1:21" x14ac:dyDescent="0.25">
      <c r="J243" s="2" t="s">
        <v>112</v>
      </c>
      <c r="K243" s="1">
        <v>2015</v>
      </c>
      <c r="L243" s="2" t="s">
        <v>113</v>
      </c>
      <c r="M243" s="2" t="s">
        <v>5</v>
      </c>
      <c r="N243" s="2" t="s">
        <v>114</v>
      </c>
      <c r="O243" s="2">
        <v>3</v>
      </c>
      <c r="P243" s="2">
        <v>105</v>
      </c>
      <c r="Q243" s="4">
        <v>1.1912727270000001</v>
      </c>
      <c r="R243" s="4">
        <v>0.19060363599999999</v>
      </c>
      <c r="S243" s="5">
        <v>1.26</v>
      </c>
      <c r="T243" s="5">
        <f>0.06*SQRT(O243)</f>
        <v>0.10392304845413262</v>
      </c>
    </row>
    <row r="244" spans="1:21" x14ac:dyDescent="0.25">
      <c r="L244" s="2" t="s">
        <v>115</v>
      </c>
      <c r="M244" s="2" t="s">
        <v>5</v>
      </c>
      <c r="N244" s="2" t="s">
        <v>116</v>
      </c>
      <c r="O244" s="2">
        <v>3</v>
      </c>
      <c r="P244" s="2">
        <v>105</v>
      </c>
      <c r="Q244" s="4">
        <v>1.0309090910000001</v>
      </c>
      <c r="R244" s="4">
        <v>0.16494545499999999</v>
      </c>
      <c r="S244" s="5">
        <v>1.33</v>
      </c>
      <c r="T244" s="5">
        <f>0.11*SQRT(O244)</f>
        <v>0.1905255888325765</v>
      </c>
    </row>
    <row r="245" spans="1:21" x14ac:dyDescent="0.25">
      <c r="L245" s="2" t="s">
        <v>117</v>
      </c>
      <c r="M245" s="2" t="s">
        <v>212</v>
      </c>
      <c r="N245" s="2" t="s">
        <v>118</v>
      </c>
      <c r="O245" s="2">
        <v>3</v>
      </c>
      <c r="P245" s="2">
        <v>105</v>
      </c>
      <c r="Q245" s="4">
        <v>0.93927272699999997</v>
      </c>
      <c r="R245" s="4">
        <v>0.150283636</v>
      </c>
      <c r="S245" s="5">
        <v>2.06</v>
      </c>
      <c r="T245" s="5">
        <f>0.08*SQRT(O245)</f>
        <v>0.13856406460551018</v>
      </c>
    </row>
    <row r="246" spans="1:21" x14ac:dyDescent="0.25">
      <c r="L246" s="2" t="s">
        <v>119</v>
      </c>
      <c r="M246" s="2" t="s">
        <v>212</v>
      </c>
      <c r="N246" s="2" t="s">
        <v>120</v>
      </c>
      <c r="O246" s="2">
        <v>3</v>
      </c>
      <c r="P246" s="2">
        <v>105</v>
      </c>
      <c r="Q246" s="4">
        <v>1.122545455</v>
      </c>
      <c r="R246" s="4">
        <v>0.17960727300000001</v>
      </c>
      <c r="S246" s="5">
        <v>1.97</v>
      </c>
      <c r="T246" s="5">
        <f>0.06*SQRT(O246)</f>
        <v>0.10392304845413262</v>
      </c>
    </row>
    <row r="247" spans="1:21" x14ac:dyDescent="0.25">
      <c r="A247" s="1" t="s">
        <v>68</v>
      </c>
      <c r="B247" s="1">
        <v>35.28</v>
      </c>
      <c r="C247" s="1">
        <v>104.44</v>
      </c>
      <c r="D247" s="1">
        <v>6.4</v>
      </c>
      <c r="E247" s="1">
        <v>391</v>
      </c>
      <c r="F247" s="1">
        <v>9.64</v>
      </c>
      <c r="H247" s="1">
        <v>1.24</v>
      </c>
      <c r="J247" s="2" t="s">
        <v>112</v>
      </c>
      <c r="K247" s="1">
        <v>2014</v>
      </c>
      <c r="L247" s="2" t="s">
        <v>12</v>
      </c>
      <c r="O247" s="2">
        <v>3</v>
      </c>
      <c r="P247" s="2">
        <v>0</v>
      </c>
      <c r="Q247" s="4">
        <v>1.9727272730000001</v>
      </c>
      <c r="R247" s="4">
        <v>0.315636364</v>
      </c>
      <c r="S247" s="5">
        <v>1.3049999999999999</v>
      </c>
      <c r="T247" s="5">
        <f>S247*0.15</f>
        <v>0.19574999999999998</v>
      </c>
      <c r="U247" s="7" t="s">
        <v>241</v>
      </c>
    </row>
    <row r="248" spans="1:21" x14ac:dyDescent="0.25">
      <c r="F248" s="1">
        <v>10.18</v>
      </c>
      <c r="H248" s="1">
        <v>1.17</v>
      </c>
      <c r="L248" s="2" t="s">
        <v>121</v>
      </c>
      <c r="M248" s="2" t="s">
        <v>5</v>
      </c>
      <c r="O248" s="2">
        <v>3</v>
      </c>
      <c r="P248" s="2">
        <v>50</v>
      </c>
      <c r="Q248" s="4">
        <v>2.0172727269999999</v>
      </c>
      <c r="R248" s="4">
        <v>0.32276363600000002</v>
      </c>
      <c r="S248" s="5">
        <v>1.538</v>
      </c>
      <c r="T248" s="5">
        <f t="shared" ref="T248:T273" si="8">S248*0.15</f>
        <v>0.23069999999999999</v>
      </c>
    </row>
    <row r="249" spans="1:21" x14ac:dyDescent="0.25">
      <c r="F249" s="1">
        <v>10.32</v>
      </c>
      <c r="H249" s="1">
        <v>1.2</v>
      </c>
      <c r="L249" s="2" t="s">
        <v>122</v>
      </c>
      <c r="M249" s="2" t="s">
        <v>5</v>
      </c>
      <c r="O249" s="2">
        <v>3</v>
      </c>
      <c r="P249" s="2">
        <v>100</v>
      </c>
      <c r="Q249" s="4">
        <v>2.0427272730000001</v>
      </c>
      <c r="R249" s="4">
        <v>0.32683636399999999</v>
      </c>
      <c r="S249" s="5">
        <v>1.77</v>
      </c>
      <c r="T249" s="5">
        <f t="shared" si="8"/>
        <v>0.26550000000000001</v>
      </c>
    </row>
    <row r="250" spans="1:21" x14ac:dyDescent="0.25">
      <c r="F250" s="1">
        <v>11.82</v>
      </c>
      <c r="H250" s="1">
        <v>1.17</v>
      </c>
      <c r="L250" s="2" t="s">
        <v>123</v>
      </c>
      <c r="M250" s="2" t="s">
        <v>5</v>
      </c>
      <c r="N250" s="2" t="s">
        <v>44</v>
      </c>
      <c r="O250" s="2">
        <v>3</v>
      </c>
      <c r="P250" s="2">
        <v>0</v>
      </c>
      <c r="Q250" s="4">
        <v>1.508181818</v>
      </c>
      <c r="R250" s="4">
        <v>0.241309091</v>
      </c>
      <c r="S250" s="5">
        <v>1.603</v>
      </c>
      <c r="T250" s="5">
        <f t="shared" si="8"/>
        <v>0.24045</v>
      </c>
    </row>
    <row r="251" spans="1:21" x14ac:dyDescent="0.25">
      <c r="F251" s="1">
        <v>12.21</v>
      </c>
      <c r="H251" s="1">
        <v>1.1299999999999999</v>
      </c>
      <c r="L251" s="2" t="s">
        <v>124</v>
      </c>
      <c r="M251" s="2" t="s">
        <v>5</v>
      </c>
      <c r="N251" s="2" t="s">
        <v>44</v>
      </c>
      <c r="O251" s="2">
        <v>3</v>
      </c>
      <c r="P251" s="2">
        <v>50</v>
      </c>
      <c r="Q251" s="4">
        <v>1.5718181819999999</v>
      </c>
      <c r="R251" s="4">
        <v>0.25149090899999998</v>
      </c>
      <c r="S251" s="5">
        <v>1.905</v>
      </c>
      <c r="T251" s="5">
        <f t="shared" si="8"/>
        <v>0.28575</v>
      </c>
    </row>
    <row r="252" spans="1:21" x14ac:dyDescent="0.25">
      <c r="F252" s="1">
        <v>12.42</v>
      </c>
      <c r="H252" s="1">
        <v>1.1499999999999999</v>
      </c>
      <c r="L252" s="2" t="s">
        <v>125</v>
      </c>
      <c r="M252" s="2" t="s">
        <v>5</v>
      </c>
      <c r="N252" s="2" t="s">
        <v>44</v>
      </c>
      <c r="O252" s="2">
        <v>3</v>
      </c>
      <c r="P252" s="2">
        <v>100</v>
      </c>
      <c r="Q252" s="4">
        <v>1.578181818</v>
      </c>
      <c r="R252" s="4">
        <v>0.25250909100000002</v>
      </c>
      <c r="S252" s="5">
        <v>2.1389999999999998</v>
      </c>
      <c r="T252" s="5">
        <f t="shared" si="8"/>
        <v>0.32084999999999997</v>
      </c>
    </row>
    <row r="253" spans="1:21" x14ac:dyDescent="0.25">
      <c r="F253" s="1">
        <v>9.7100000000000009</v>
      </c>
      <c r="H253" s="1">
        <v>1.21</v>
      </c>
      <c r="L253" s="2" t="s">
        <v>126</v>
      </c>
      <c r="M253" s="2" t="s">
        <v>73</v>
      </c>
      <c r="N253" s="2" t="s">
        <v>127</v>
      </c>
      <c r="O253" s="2">
        <v>3</v>
      </c>
      <c r="P253" s="2">
        <f>0+4500*0.94/100</f>
        <v>42.3</v>
      </c>
      <c r="Q253" s="4">
        <v>1.5463636359999999</v>
      </c>
      <c r="R253" s="4">
        <v>0.24741818199999999</v>
      </c>
      <c r="S253" s="5">
        <v>1.502</v>
      </c>
      <c r="T253" s="5">
        <f t="shared" si="8"/>
        <v>0.2253</v>
      </c>
    </row>
    <row r="254" spans="1:21" x14ac:dyDescent="0.25">
      <c r="F254" s="1">
        <v>10.7</v>
      </c>
      <c r="H254" s="1">
        <v>1.1100000000000001</v>
      </c>
      <c r="L254" s="2" t="s">
        <v>128</v>
      </c>
      <c r="M254" s="2" t="s">
        <v>212</v>
      </c>
      <c r="N254" s="2" t="s">
        <v>127</v>
      </c>
      <c r="O254" s="2">
        <v>3</v>
      </c>
      <c r="P254" s="2">
        <f>50+P253</f>
        <v>92.3</v>
      </c>
      <c r="Q254" s="4">
        <v>1.8009090910000001</v>
      </c>
      <c r="R254" s="4">
        <v>0.28814545499999999</v>
      </c>
      <c r="S254" s="5">
        <v>1.8520000000000001</v>
      </c>
      <c r="T254" s="5">
        <f t="shared" si="8"/>
        <v>0.27779999999999999</v>
      </c>
    </row>
    <row r="255" spans="1:21" x14ac:dyDescent="0.25">
      <c r="F255" s="1">
        <v>11.8</v>
      </c>
      <c r="H255" s="1">
        <v>1.1399999999999999</v>
      </c>
      <c r="L255" s="2" t="s">
        <v>129</v>
      </c>
      <c r="M255" s="2" t="s">
        <v>212</v>
      </c>
      <c r="N255" s="2" t="s">
        <v>127</v>
      </c>
      <c r="O255" s="2">
        <v>3</v>
      </c>
      <c r="P255" s="2">
        <f>100+P253</f>
        <v>142.30000000000001</v>
      </c>
      <c r="Q255" s="4">
        <v>1.902727273</v>
      </c>
      <c r="R255" s="4">
        <v>0.30443636400000001</v>
      </c>
      <c r="S255" s="5">
        <v>1.9750000000000001</v>
      </c>
      <c r="T255" s="5">
        <f t="shared" si="8"/>
        <v>0.29625000000000001</v>
      </c>
    </row>
    <row r="256" spans="1:21" x14ac:dyDescent="0.25">
      <c r="J256" s="2" t="s">
        <v>112</v>
      </c>
      <c r="K256" s="1">
        <v>2015</v>
      </c>
      <c r="L256" s="2" t="s">
        <v>12</v>
      </c>
      <c r="O256" s="2">
        <v>3</v>
      </c>
      <c r="P256" s="2">
        <v>0</v>
      </c>
      <c r="Q256" s="4">
        <v>1.33</v>
      </c>
      <c r="R256" s="4">
        <v>0.21279999999999999</v>
      </c>
      <c r="S256" s="5">
        <v>1.5</v>
      </c>
      <c r="T256" s="5">
        <f t="shared" si="8"/>
        <v>0.22499999999999998</v>
      </c>
    </row>
    <row r="257" spans="10:20" x14ac:dyDescent="0.25">
      <c r="L257" s="2" t="s">
        <v>121</v>
      </c>
      <c r="M257" s="2" t="s">
        <v>5</v>
      </c>
      <c r="O257" s="2">
        <v>3</v>
      </c>
      <c r="P257" s="2">
        <v>50</v>
      </c>
      <c r="Q257" s="4">
        <v>1.2727272730000001</v>
      </c>
      <c r="R257" s="4">
        <v>0.20363636399999999</v>
      </c>
      <c r="S257" s="5">
        <v>1.8959999999999999</v>
      </c>
      <c r="T257" s="5">
        <f t="shared" si="8"/>
        <v>0.28439999999999999</v>
      </c>
    </row>
    <row r="258" spans="10:20" x14ac:dyDescent="0.25">
      <c r="L258" s="2" t="s">
        <v>122</v>
      </c>
      <c r="M258" s="2" t="s">
        <v>5</v>
      </c>
      <c r="O258" s="2">
        <v>3</v>
      </c>
      <c r="P258" s="2">
        <v>100</v>
      </c>
      <c r="Q258" s="4">
        <v>1.508181818</v>
      </c>
      <c r="R258" s="4">
        <v>0.241309091</v>
      </c>
      <c r="S258" s="5">
        <v>1.927</v>
      </c>
      <c r="T258" s="5">
        <f t="shared" si="8"/>
        <v>0.28904999999999997</v>
      </c>
    </row>
    <row r="259" spans="10:20" x14ac:dyDescent="0.25">
      <c r="L259" s="2" t="s">
        <v>123</v>
      </c>
      <c r="M259" s="2" t="s">
        <v>5</v>
      </c>
      <c r="N259" s="2" t="s">
        <v>44</v>
      </c>
      <c r="O259" s="2">
        <v>3</v>
      </c>
      <c r="P259" s="2">
        <v>0</v>
      </c>
      <c r="Q259" s="4">
        <v>0.95454545499999999</v>
      </c>
      <c r="R259" s="4">
        <v>0.152727273</v>
      </c>
      <c r="S259" s="5">
        <v>1.7889999999999999</v>
      </c>
      <c r="T259" s="5">
        <f t="shared" si="8"/>
        <v>0.26834999999999998</v>
      </c>
    </row>
    <row r="260" spans="10:20" x14ac:dyDescent="0.25">
      <c r="L260" s="2" t="s">
        <v>124</v>
      </c>
      <c r="M260" s="2" t="s">
        <v>5</v>
      </c>
      <c r="N260" s="2" t="s">
        <v>44</v>
      </c>
      <c r="O260" s="2">
        <v>3</v>
      </c>
      <c r="P260" s="2">
        <v>50</v>
      </c>
      <c r="Q260" s="4">
        <v>1.1009090909999999</v>
      </c>
      <c r="R260" s="4">
        <v>0.17614545500000001</v>
      </c>
      <c r="S260" s="5">
        <v>2.133</v>
      </c>
      <c r="T260" s="5">
        <f t="shared" si="8"/>
        <v>0.31995000000000001</v>
      </c>
    </row>
    <row r="261" spans="10:20" x14ac:dyDescent="0.25">
      <c r="L261" s="2" t="s">
        <v>125</v>
      </c>
      <c r="M261" s="2" t="s">
        <v>5</v>
      </c>
      <c r="N261" s="2" t="s">
        <v>44</v>
      </c>
      <c r="O261" s="2">
        <v>3</v>
      </c>
      <c r="P261" s="2">
        <v>100</v>
      </c>
      <c r="Q261" s="4">
        <v>1.126363636</v>
      </c>
      <c r="R261" s="4">
        <v>0.180218182</v>
      </c>
      <c r="S261" s="5">
        <v>2.456</v>
      </c>
      <c r="T261" s="5">
        <f t="shared" si="8"/>
        <v>0.36840000000000001</v>
      </c>
    </row>
    <row r="262" spans="10:20" x14ac:dyDescent="0.25">
      <c r="L262" s="2" t="s">
        <v>126</v>
      </c>
      <c r="M262" s="2" t="s">
        <v>73</v>
      </c>
      <c r="N262" s="2" t="s">
        <v>127</v>
      </c>
      <c r="O262" s="2">
        <v>3</v>
      </c>
      <c r="P262" s="2">
        <f>0+4500*0.94/100</f>
        <v>42.3</v>
      </c>
      <c r="Q262" s="4">
        <v>1.19</v>
      </c>
      <c r="R262" s="4">
        <v>0.19040000000000001</v>
      </c>
      <c r="S262" s="5">
        <v>1.6579999999999999</v>
      </c>
      <c r="T262" s="5">
        <f t="shared" si="8"/>
        <v>0.24869999999999998</v>
      </c>
    </row>
    <row r="263" spans="10:20" x14ac:dyDescent="0.25">
      <c r="L263" s="2" t="s">
        <v>128</v>
      </c>
      <c r="M263" s="2" t="s">
        <v>212</v>
      </c>
      <c r="N263" s="2" t="s">
        <v>127</v>
      </c>
      <c r="O263" s="2">
        <v>3</v>
      </c>
      <c r="P263" s="2">
        <f>50+P262</f>
        <v>92.3</v>
      </c>
      <c r="Q263" s="4">
        <v>1.132727273</v>
      </c>
      <c r="R263" s="4">
        <v>0.18123636400000001</v>
      </c>
      <c r="S263" s="5">
        <v>1.944</v>
      </c>
      <c r="T263" s="5">
        <f t="shared" si="8"/>
        <v>0.29159999999999997</v>
      </c>
    </row>
    <row r="264" spans="10:20" x14ac:dyDescent="0.25">
      <c r="L264" s="2" t="s">
        <v>129</v>
      </c>
      <c r="M264" s="2" t="s">
        <v>212</v>
      </c>
      <c r="N264" s="2" t="s">
        <v>127</v>
      </c>
      <c r="O264" s="2">
        <v>3</v>
      </c>
      <c r="P264" s="2">
        <f>100+P262</f>
        <v>142.30000000000001</v>
      </c>
      <c r="Q264" s="4">
        <v>1.26</v>
      </c>
      <c r="R264" s="4">
        <v>0.2016</v>
      </c>
      <c r="S264" s="5">
        <v>2.1800000000000002</v>
      </c>
      <c r="T264" s="5">
        <f t="shared" si="8"/>
        <v>0.32700000000000001</v>
      </c>
    </row>
    <row r="265" spans="10:20" x14ac:dyDescent="0.25">
      <c r="J265" s="2" t="s">
        <v>112</v>
      </c>
      <c r="K265" s="1">
        <v>2016</v>
      </c>
      <c r="L265" s="2" t="s">
        <v>12</v>
      </c>
      <c r="O265" s="2">
        <v>3</v>
      </c>
      <c r="P265" s="2">
        <v>0</v>
      </c>
      <c r="Q265" s="4">
        <v>1.5272727269999999</v>
      </c>
      <c r="R265" s="4">
        <v>0.244363636</v>
      </c>
      <c r="S265" s="5">
        <v>1.0089999999999999</v>
      </c>
      <c r="T265" s="5">
        <f t="shared" si="8"/>
        <v>0.15134999999999998</v>
      </c>
    </row>
    <row r="266" spans="10:20" x14ac:dyDescent="0.25">
      <c r="L266" s="2" t="s">
        <v>121</v>
      </c>
      <c r="M266" s="2" t="s">
        <v>5</v>
      </c>
      <c r="O266" s="2">
        <v>3</v>
      </c>
      <c r="P266" s="2">
        <v>50</v>
      </c>
      <c r="Q266" s="4">
        <v>1.47</v>
      </c>
      <c r="R266" s="4">
        <v>0.23519999999999999</v>
      </c>
      <c r="S266" s="5">
        <v>1.0429999999999999</v>
      </c>
      <c r="T266" s="5">
        <f t="shared" si="8"/>
        <v>0.15644999999999998</v>
      </c>
    </row>
    <row r="267" spans="10:20" x14ac:dyDescent="0.25">
      <c r="L267" s="2" t="s">
        <v>122</v>
      </c>
      <c r="M267" s="2" t="s">
        <v>5</v>
      </c>
      <c r="O267" s="2">
        <v>3</v>
      </c>
      <c r="P267" s="2">
        <v>100</v>
      </c>
      <c r="Q267" s="4">
        <v>1.6290909090000001</v>
      </c>
      <c r="R267" s="4">
        <v>0.26065454500000002</v>
      </c>
      <c r="S267" s="5">
        <v>1.1439999999999999</v>
      </c>
      <c r="T267" s="5">
        <f t="shared" si="8"/>
        <v>0.17159999999999997</v>
      </c>
    </row>
    <row r="268" spans="10:20" x14ac:dyDescent="0.25">
      <c r="L268" s="2" t="s">
        <v>123</v>
      </c>
      <c r="M268" s="2" t="s">
        <v>5</v>
      </c>
      <c r="N268" s="2" t="s">
        <v>44</v>
      </c>
      <c r="O268" s="2">
        <v>3</v>
      </c>
      <c r="P268" s="2">
        <v>0</v>
      </c>
      <c r="Q268" s="4">
        <v>1.1009090909999999</v>
      </c>
      <c r="R268" s="4">
        <v>0.17614545500000001</v>
      </c>
      <c r="S268" s="5">
        <v>1.1240000000000001</v>
      </c>
      <c r="T268" s="5">
        <f t="shared" si="8"/>
        <v>0.1686</v>
      </c>
    </row>
    <row r="269" spans="10:20" x14ac:dyDescent="0.25">
      <c r="L269" s="2" t="s">
        <v>124</v>
      </c>
      <c r="M269" s="2" t="s">
        <v>5</v>
      </c>
      <c r="N269" s="2" t="s">
        <v>44</v>
      </c>
      <c r="O269" s="2">
        <v>3</v>
      </c>
      <c r="P269" s="2">
        <v>50</v>
      </c>
      <c r="Q269" s="4">
        <v>1.19</v>
      </c>
      <c r="R269" s="4">
        <v>0.19040000000000001</v>
      </c>
      <c r="S269" s="5">
        <v>1.2330000000000001</v>
      </c>
      <c r="T269" s="5">
        <f t="shared" si="8"/>
        <v>0.18495</v>
      </c>
    </row>
    <row r="270" spans="10:20" x14ac:dyDescent="0.25">
      <c r="L270" s="2" t="s">
        <v>125</v>
      </c>
      <c r="M270" s="2" t="s">
        <v>5</v>
      </c>
      <c r="N270" s="2" t="s">
        <v>44</v>
      </c>
      <c r="O270" s="2">
        <v>3</v>
      </c>
      <c r="P270" s="2">
        <v>100</v>
      </c>
      <c r="Q270" s="4">
        <v>1.202727273</v>
      </c>
      <c r="R270" s="4">
        <v>0.192436364</v>
      </c>
      <c r="S270" s="5">
        <v>1.5669999999999999</v>
      </c>
      <c r="T270" s="5">
        <f t="shared" si="8"/>
        <v>0.23504999999999998</v>
      </c>
    </row>
    <row r="271" spans="10:20" x14ac:dyDescent="0.25">
      <c r="L271" s="2" t="s">
        <v>126</v>
      </c>
      <c r="M271" s="2" t="s">
        <v>73</v>
      </c>
      <c r="N271" s="2" t="s">
        <v>127</v>
      </c>
      <c r="O271" s="2">
        <v>3</v>
      </c>
      <c r="P271" s="2">
        <f>0+4500*0.94/100</f>
        <v>42.3</v>
      </c>
      <c r="Q271" s="4">
        <v>1.1772727270000001</v>
      </c>
      <c r="R271" s="4">
        <v>0.188363636</v>
      </c>
      <c r="S271" s="5">
        <v>1.111</v>
      </c>
      <c r="T271" s="5">
        <f t="shared" si="8"/>
        <v>0.16664999999999999</v>
      </c>
    </row>
    <row r="272" spans="10:20" x14ac:dyDescent="0.25">
      <c r="L272" s="2" t="s">
        <v>128</v>
      </c>
      <c r="M272" s="2" t="s">
        <v>212</v>
      </c>
      <c r="N272" s="2" t="s">
        <v>127</v>
      </c>
      <c r="O272" s="2">
        <v>3</v>
      </c>
      <c r="P272" s="2">
        <f>50+P271</f>
        <v>92.3</v>
      </c>
      <c r="Q272" s="4">
        <v>1.304545455</v>
      </c>
      <c r="R272" s="4">
        <v>0.20872727299999999</v>
      </c>
      <c r="S272" s="5">
        <v>1.1819999999999999</v>
      </c>
      <c r="T272" s="5">
        <f t="shared" si="8"/>
        <v>0.17729999999999999</v>
      </c>
    </row>
    <row r="273" spans="1:21" x14ac:dyDescent="0.25">
      <c r="L273" s="2" t="s">
        <v>129</v>
      </c>
      <c r="M273" s="2" t="s">
        <v>212</v>
      </c>
      <c r="N273" s="2" t="s">
        <v>127</v>
      </c>
      <c r="O273" s="2">
        <v>3</v>
      </c>
      <c r="P273" s="2">
        <f>100+P271</f>
        <v>142.30000000000001</v>
      </c>
      <c r="Q273" s="4">
        <v>1.393636364</v>
      </c>
      <c r="R273" s="4">
        <v>0.222981818</v>
      </c>
      <c r="S273" s="5">
        <v>1.38</v>
      </c>
      <c r="T273" s="5">
        <f t="shared" si="8"/>
        <v>0.20699999999999999</v>
      </c>
    </row>
    <row r="274" spans="1:21" x14ac:dyDescent="0.25">
      <c r="A274" s="1" t="s">
        <v>68</v>
      </c>
      <c r="B274" s="1">
        <v>35.28</v>
      </c>
      <c r="C274" s="1">
        <v>104.44</v>
      </c>
      <c r="D274" s="1">
        <v>6.4</v>
      </c>
      <c r="E274" s="1">
        <v>391</v>
      </c>
      <c r="F274" s="1">
        <v>5.79</v>
      </c>
      <c r="G274" s="1">
        <v>0.59</v>
      </c>
      <c r="H274" s="1">
        <v>1.41</v>
      </c>
      <c r="I274" s="1">
        <v>8.4</v>
      </c>
      <c r="J274" s="2" t="s">
        <v>112</v>
      </c>
      <c r="K274" s="1">
        <v>2020</v>
      </c>
      <c r="L274" s="2" t="s">
        <v>113</v>
      </c>
      <c r="M274" s="2" t="s">
        <v>5</v>
      </c>
      <c r="N274" s="2" t="s">
        <v>130</v>
      </c>
      <c r="O274" s="2">
        <v>3</v>
      </c>
      <c r="P274" s="2">
        <f>150+62.5</f>
        <v>212.5</v>
      </c>
      <c r="Q274" s="4">
        <v>1.48</v>
      </c>
      <c r="R274" s="4">
        <v>0.05</v>
      </c>
      <c r="S274" s="5">
        <v>1.42</v>
      </c>
      <c r="T274" s="5">
        <f>0.39</f>
        <v>0.39</v>
      </c>
      <c r="U274" s="7" t="s">
        <v>243</v>
      </c>
    </row>
    <row r="275" spans="1:21" x14ac:dyDescent="0.25">
      <c r="L275" s="2" t="s">
        <v>115</v>
      </c>
      <c r="M275" s="2" t="s">
        <v>5</v>
      </c>
      <c r="N275" s="2" t="s">
        <v>116</v>
      </c>
      <c r="O275" s="2">
        <v>3</v>
      </c>
      <c r="P275" s="2">
        <f t="shared" ref="P275:P277" si="9">150+62.5</f>
        <v>212.5</v>
      </c>
      <c r="Q275" s="4">
        <v>1.6</v>
      </c>
      <c r="R275" s="4">
        <v>0.32</v>
      </c>
      <c r="S275" s="5">
        <v>1.61</v>
      </c>
      <c r="T275" s="5">
        <v>0.3</v>
      </c>
    </row>
    <row r="276" spans="1:21" x14ac:dyDescent="0.25">
      <c r="L276" s="2" t="s">
        <v>119</v>
      </c>
      <c r="M276" s="2" t="s">
        <v>212</v>
      </c>
      <c r="N276" s="2" t="s">
        <v>120</v>
      </c>
      <c r="O276" s="2">
        <v>3</v>
      </c>
      <c r="P276" s="2">
        <f t="shared" si="9"/>
        <v>212.5</v>
      </c>
      <c r="Q276" s="4">
        <v>2.08</v>
      </c>
      <c r="R276" s="4">
        <v>0.3</v>
      </c>
      <c r="S276" s="5">
        <v>1.91</v>
      </c>
      <c r="T276" s="5">
        <v>0.27</v>
      </c>
    </row>
    <row r="277" spans="1:21" x14ac:dyDescent="0.25">
      <c r="L277" s="2" t="s">
        <v>117</v>
      </c>
      <c r="M277" s="2" t="s">
        <v>212</v>
      </c>
      <c r="N277" s="2" t="s">
        <v>118</v>
      </c>
      <c r="O277" s="2">
        <v>3</v>
      </c>
      <c r="P277" s="2">
        <f t="shared" si="9"/>
        <v>212.5</v>
      </c>
      <c r="Q277" s="4">
        <v>1.77</v>
      </c>
      <c r="R277" s="4">
        <v>0.22</v>
      </c>
      <c r="S277" s="5">
        <v>2.34</v>
      </c>
      <c r="T277" s="5">
        <v>0.25</v>
      </c>
    </row>
    <row r="278" spans="1:21" x14ac:dyDescent="0.25">
      <c r="A278" s="1" t="s">
        <v>68</v>
      </c>
      <c r="B278" s="1">
        <v>34.26</v>
      </c>
      <c r="C278" s="1">
        <v>103.52</v>
      </c>
      <c r="F278" s="1">
        <v>9.85</v>
      </c>
      <c r="H278" s="1">
        <v>1.1499999999999999</v>
      </c>
      <c r="I278" s="1">
        <v>8.33</v>
      </c>
      <c r="J278" s="2" t="s">
        <v>112</v>
      </c>
      <c r="K278" s="1" t="s">
        <v>106</v>
      </c>
      <c r="L278" s="2" t="s">
        <v>113</v>
      </c>
      <c r="M278" s="2" t="s">
        <v>5</v>
      </c>
      <c r="N278" s="2" t="s">
        <v>130</v>
      </c>
      <c r="O278" s="2">
        <v>3</v>
      </c>
      <c r="P278" s="2">
        <v>212.2</v>
      </c>
      <c r="Q278" s="4">
        <v>2.2209090909999998</v>
      </c>
      <c r="R278" s="4">
        <v>1.9090909E-2</v>
      </c>
      <c r="U278" s="7" t="s">
        <v>251</v>
      </c>
    </row>
    <row r="279" spans="1:21" x14ac:dyDescent="0.25">
      <c r="B279" s="1">
        <v>35.35</v>
      </c>
      <c r="C279" s="1">
        <v>105.13</v>
      </c>
      <c r="F279" s="1">
        <v>10.06</v>
      </c>
      <c r="H279" s="1">
        <v>1.17</v>
      </c>
      <c r="I279" s="1">
        <v>8.32</v>
      </c>
      <c r="L279" s="2" t="s">
        <v>115</v>
      </c>
      <c r="M279" s="2" t="s">
        <v>5</v>
      </c>
      <c r="N279" s="2" t="s">
        <v>116</v>
      </c>
      <c r="O279" s="2">
        <v>3</v>
      </c>
      <c r="P279" s="2">
        <v>212.5</v>
      </c>
      <c r="Q279" s="4">
        <v>1.9854545450000001</v>
      </c>
      <c r="R279" s="4">
        <v>2.5454544999999999E-2</v>
      </c>
    </row>
    <row r="280" spans="1:21" x14ac:dyDescent="0.25">
      <c r="A280" s="1" t="s">
        <v>131</v>
      </c>
      <c r="B280" s="1" t="s">
        <v>132</v>
      </c>
      <c r="C280" s="1" t="s">
        <v>133</v>
      </c>
      <c r="D280" s="1">
        <v>6.3</v>
      </c>
      <c r="E280" s="1">
        <v>391</v>
      </c>
      <c r="F280" s="1">
        <v>6.37</v>
      </c>
      <c r="H280" s="1">
        <v>8.0299999999999994</v>
      </c>
      <c r="I280" s="1">
        <v>1.17</v>
      </c>
      <c r="J280" s="2" t="s">
        <v>112</v>
      </c>
      <c r="K280" s="1">
        <v>2021</v>
      </c>
      <c r="O280" s="2">
        <v>3</v>
      </c>
      <c r="P280" s="2">
        <v>0</v>
      </c>
      <c r="Q280" s="4">
        <v>2.0109090909999998</v>
      </c>
      <c r="R280" s="4">
        <v>0.09</v>
      </c>
      <c r="U280" s="7" t="s">
        <v>244</v>
      </c>
    </row>
    <row r="281" spans="1:21" x14ac:dyDescent="0.25">
      <c r="F281" s="1">
        <v>5.35</v>
      </c>
      <c r="H281" s="1">
        <v>8.35</v>
      </c>
      <c r="I281" s="1">
        <v>1.18</v>
      </c>
      <c r="J281" s="2" t="s">
        <v>112</v>
      </c>
      <c r="K281" s="1">
        <v>2022</v>
      </c>
      <c r="O281" s="2">
        <v>3</v>
      </c>
      <c r="P281" s="2">
        <v>0</v>
      </c>
      <c r="Q281" s="4">
        <v>1.705454545</v>
      </c>
      <c r="R281" s="4">
        <v>0.08</v>
      </c>
    </row>
    <row r="282" spans="1:21" x14ac:dyDescent="0.25">
      <c r="A282" s="1" t="s">
        <v>68</v>
      </c>
      <c r="B282" s="1">
        <v>35.64</v>
      </c>
      <c r="C282" s="1">
        <v>104.64</v>
      </c>
      <c r="E282" s="1">
        <v>394</v>
      </c>
      <c r="F282" s="1">
        <v>5.79</v>
      </c>
      <c r="H282" s="1">
        <v>1.153</v>
      </c>
      <c r="I282" s="1">
        <v>8.19</v>
      </c>
      <c r="J282" s="2" t="s">
        <v>112</v>
      </c>
      <c r="K282" s="1">
        <v>2021</v>
      </c>
      <c r="L282" s="2" t="s">
        <v>134</v>
      </c>
      <c r="M282" s="2" t="s">
        <v>5</v>
      </c>
      <c r="N282" s="2" t="s">
        <v>114</v>
      </c>
      <c r="O282" s="2">
        <v>3</v>
      </c>
      <c r="P282" s="2">
        <v>55</v>
      </c>
      <c r="Q282" s="4">
        <v>1.2729999999999999</v>
      </c>
      <c r="R282" s="4">
        <v>0.09</v>
      </c>
      <c r="S282" s="5">
        <v>1.3819999999999999</v>
      </c>
      <c r="T282" s="5">
        <v>1.2999999999999999E-2</v>
      </c>
      <c r="U282" s="7" t="s">
        <v>250</v>
      </c>
    </row>
    <row r="283" spans="1:21" x14ac:dyDescent="0.25">
      <c r="F283" s="1">
        <v>6.11</v>
      </c>
      <c r="H283" s="1">
        <v>1.151</v>
      </c>
      <c r="I283" s="1">
        <v>8.27</v>
      </c>
      <c r="L283" s="2" t="s">
        <v>135</v>
      </c>
      <c r="M283" s="2" t="s">
        <v>5</v>
      </c>
      <c r="N283" s="2" t="s">
        <v>114</v>
      </c>
      <c r="O283" s="2">
        <v>3</v>
      </c>
      <c r="P283" s="2">
        <v>110</v>
      </c>
      <c r="Q283" s="4">
        <v>1.66</v>
      </c>
      <c r="R283" s="4">
        <v>0.08</v>
      </c>
      <c r="S283" s="5">
        <v>1.7529999999999999</v>
      </c>
      <c r="T283" s="5">
        <v>1.0999999999999999E-2</v>
      </c>
    </row>
    <row r="284" spans="1:21" x14ac:dyDescent="0.25">
      <c r="F284" s="1">
        <v>6.49</v>
      </c>
      <c r="H284" s="1">
        <v>1.153</v>
      </c>
      <c r="I284" s="1">
        <v>8.33</v>
      </c>
      <c r="L284" s="2" t="s">
        <v>136</v>
      </c>
      <c r="M284" s="2" t="s">
        <v>5</v>
      </c>
      <c r="N284" s="2" t="s">
        <v>114</v>
      </c>
      <c r="O284" s="2">
        <v>3</v>
      </c>
      <c r="P284" s="2">
        <v>220</v>
      </c>
      <c r="Q284" s="4">
        <v>2.29</v>
      </c>
      <c r="R284" s="4">
        <v>1.9E-2</v>
      </c>
      <c r="S284" s="5">
        <v>1.5640000000000001</v>
      </c>
      <c r="T284" s="5">
        <v>0.02</v>
      </c>
    </row>
    <row r="285" spans="1:21" x14ac:dyDescent="0.25">
      <c r="F285" s="1">
        <v>6</v>
      </c>
      <c r="H285" s="1">
        <v>1.1559999999999999</v>
      </c>
      <c r="I285" s="1">
        <v>8.08</v>
      </c>
      <c r="L285" s="2" t="s">
        <v>137</v>
      </c>
      <c r="M285" s="2" t="s">
        <v>212</v>
      </c>
      <c r="N285" s="2" t="s">
        <v>138</v>
      </c>
      <c r="O285" s="2">
        <v>3</v>
      </c>
      <c r="P285" s="2">
        <v>55</v>
      </c>
      <c r="Q285" s="4">
        <v>1.42</v>
      </c>
      <c r="R285" s="4">
        <v>0.22</v>
      </c>
      <c r="S285" s="5">
        <v>1.4359999999999999</v>
      </c>
      <c r="T285" s="5">
        <v>0.05</v>
      </c>
    </row>
    <row r="286" spans="1:21" x14ac:dyDescent="0.25">
      <c r="F286" s="1">
        <v>6.68</v>
      </c>
      <c r="H286" s="1">
        <v>1.1519999999999999</v>
      </c>
      <c r="I286" s="1">
        <v>8.19</v>
      </c>
      <c r="L286" s="2" t="s">
        <v>139</v>
      </c>
      <c r="M286" s="2" t="s">
        <v>212</v>
      </c>
      <c r="N286" s="2" t="s">
        <v>138</v>
      </c>
      <c r="O286" s="2">
        <v>3</v>
      </c>
      <c r="P286" s="2">
        <v>110</v>
      </c>
      <c r="Q286" s="4">
        <v>1.74</v>
      </c>
      <c r="R286" s="4">
        <v>0.04</v>
      </c>
      <c r="S286" s="5">
        <v>1.847</v>
      </c>
      <c r="T286" s="5">
        <v>2.7E-2</v>
      </c>
    </row>
    <row r="287" spans="1:21" x14ac:dyDescent="0.25">
      <c r="F287" s="1">
        <v>6.75</v>
      </c>
      <c r="H287" s="1">
        <v>1.167</v>
      </c>
      <c r="I287" s="1">
        <v>8.27</v>
      </c>
      <c r="L287" s="2" t="s">
        <v>140</v>
      </c>
      <c r="M287" s="2" t="s">
        <v>212</v>
      </c>
      <c r="N287" s="2" t="s">
        <v>138</v>
      </c>
      <c r="O287" s="2">
        <v>3</v>
      </c>
      <c r="P287" s="2">
        <v>220</v>
      </c>
      <c r="Q287" s="4">
        <v>2.65</v>
      </c>
      <c r="R287" s="4">
        <v>0.3</v>
      </c>
      <c r="S287" s="5">
        <v>1.696</v>
      </c>
      <c r="T287" s="5">
        <v>2.4E-2</v>
      </c>
    </row>
    <row r="288" spans="1:21" x14ac:dyDescent="0.25">
      <c r="F288" s="1">
        <v>5.53</v>
      </c>
      <c r="H288" s="1">
        <v>1.147</v>
      </c>
      <c r="I288" s="1">
        <v>8.23</v>
      </c>
      <c r="J288" s="2" t="s">
        <v>112</v>
      </c>
      <c r="K288" s="1">
        <v>2022</v>
      </c>
      <c r="L288" s="2" t="s">
        <v>134</v>
      </c>
      <c r="M288" s="2" t="s">
        <v>5</v>
      </c>
      <c r="N288" s="2" t="s">
        <v>114</v>
      </c>
      <c r="O288" s="2">
        <v>3</v>
      </c>
      <c r="P288" s="2">
        <v>55</v>
      </c>
      <c r="Q288" s="4">
        <v>1.19</v>
      </c>
      <c r="R288" s="4">
        <v>0.17</v>
      </c>
      <c r="S288" s="5">
        <v>1.087</v>
      </c>
      <c r="T288" s="5">
        <v>2.1999999999999999E-2</v>
      </c>
    </row>
    <row r="289" spans="1:21" x14ac:dyDescent="0.25">
      <c r="F289" s="1">
        <v>5.83</v>
      </c>
      <c r="H289" s="1">
        <v>1.1479999999999999</v>
      </c>
      <c r="I289" s="1">
        <v>8.26</v>
      </c>
      <c r="L289" s="2" t="s">
        <v>135</v>
      </c>
      <c r="M289" s="2" t="s">
        <v>5</v>
      </c>
      <c r="N289" s="2" t="s">
        <v>114</v>
      </c>
      <c r="O289" s="2">
        <v>3</v>
      </c>
      <c r="P289" s="2">
        <v>110</v>
      </c>
      <c r="Q289" s="4">
        <v>1.47</v>
      </c>
      <c r="R289" s="4">
        <v>0.2</v>
      </c>
      <c r="S289" s="5">
        <v>1.3680000000000001</v>
      </c>
      <c r="T289" s="5">
        <v>3.1E-2</v>
      </c>
    </row>
    <row r="290" spans="1:21" x14ac:dyDescent="0.25">
      <c r="F290" s="1">
        <v>6.23</v>
      </c>
      <c r="H290" s="1">
        <v>1.5</v>
      </c>
      <c r="I290" s="1">
        <v>8.36</v>
      </c>
      <c r="L290" s="2" t="s">
        <v>136</v>
      </c>
      <c r="M290" s="2" t="s">
        <v>5</v>
      </c>
      <c r="N290" s="2" t="s">
        <v>114</v>
      </c>
      <c r="O290" s="2">
        <v>3</v>
      </c>
      <c r="P290" s="2">
        <v>220</v>
      </c>
      <c r="Q290" s="4">
        <v>2.2999999999999998</v>
      </c>
      <c r="R290" s="4">
        <v>0.16</v>
      </c>
      <c r="S290" s="5">
        <v>1.2130000000000001</v>
      </c>
      <c r="T290" s="5">
        <v>4.5999999999999999E-2</v>
      </c>
    </row>
    <row r="291" spans="1:21" x14ac:dyDescent="0.25">
      <c r="F291" s="1">
        <v>5.78</v>
      </c>
      <c r="H291" s="1">
        <v>1.153</v>
      </c>
      <c r="I291" s="1">
        <v>8.15</v>
      </c>
      <c r="L291" s="2" t="s">
        <v>137</v>
      </c>
      <c r="M291" s="2" t="s">
        <v>212</v>
      </c>
      <c r="N291" s="2" t="s">
        <v>138</v>
      </c>
      <c r="O291" s="2">
        <v>3</v>
      </c>
      <c r="P291" s="2">
        <v>55</v>
      </c>
      <c r="Q291" s="4">
        <v>1.37</v>
      </c>
      <c r="R291" s="4">
        <v>0.08</v>
      </c>
      <c r="S291" s="5">
        <v>1.218</v>
      </c>
      <c r="T291" s="5">
        <v>0.05</v>
      </c>
    </row>
    <row r="292" spans="1:21" x14ac:dyDescent="0.25">
      <c r="F292" s="1">
        <v>6.49</v>
      </c>
      <c r="H292" s="1">
        <v>1.149</v>
      </c>
      <c r="I292" s="1">
        <v>8.25</v>
      </c>
      <c r="L292" s="2" t="s">
        <v>139</v>
      </c>
      <c r="M292" s="2" t="s">
        <v>212</v>
      </c>
      <c r="N292" s="2" t="s">
        <v>138</v>
      </c>
      <c r="O292" s="2">
        <v>3</v>
      </c>
      <c r="P292" s="2">
        <v>110</v>
      </c>
      <c r="Q292" s="4">
        <v>1.6</v>
      </c>
      <c r="R292" s="4">
        <v>0.06</v>
      </c>
      <c r="S292" s="5">
        <v>1.429</v>
      </c>
      <c r="T292" s="5">
        <v>2.7E-2</v>
      </c>
    </row>
    <row r="293" spans="1:21" x14ac:dyDescent="0.25">
      <c r="F293" s="1">
        <v>6.49</v>
      </c>
      <c r="H293" s="1">
        <v>1.1539999999999999</v>
      </c>
      <c r="I293" s="1">
        <v>8.33</v>
      </c>
      <c r="L293" s="2" t="s">
        <v>140</v>
      </c>
      <c r="M293" s="2" t="s">
        <v>212</v>
      </c>
      <c r="N293" s="2" t="s">
        <v>138</v>
      </c>
      <c r="O293" s="2">
        <v>3</v>
      </c>
      <c r="P293" s="2">
        <v>220</v>
      </c>
      <c r="Q293" s="4">
        <v>2.52</v>
      </c>
      <c r="R293" s="4">
        <v>0.2</v>
      </c>
      <c r="S293" s="5">
        <v>1.2110000000000001</v>
      </c>
      <c r="T293" s="5">
        <v>1.9E-2</v>
      </c>
    </row>
    <row r="294" spans="1:21" x14ac:dyDescent="0.25">
      <c r="A294" s="1" t="s">
        <v>68</v>
      </c>
      <c r="B294" s="1">
        <v>35.64</v>
      </c>
      <c r="C294" s="1">
        <v>104.64</v>
      </c>
      <c r="D294" s="1">
        <v>7.2</v>
      </c>
      <c r="E294" s="1">
        <v>377</v>
      </c>
      <c r="F294" s="1">
        <v>6.21</v>
      </c>
      <c r="G294" s="1">
        <v>0.61</v>
      </c>
      <c r="H294" s="1">
        <v>1.19</v>
      </c>
      <c r="I294" s="1">
        <v>8.36</v>
      </c>
      <c r="J294" s="2" t="s">
        <v>112</v>
      </c>
      <c r="K294" s="1">
        <v>2022</v>
      </c>
      <c r="L294" s="2" t="s">
        <v>7</v>
      </c>
      <c r="O294" s="2">
        <v>3</v>
      </c>
      <c r="P294" s="2">
        <v>0</v>
      </c>
      <c r="Q294" s="4">
        <v>0.64</v>
      </c>
      <c r="R294" s="4">
        <v>8.3000000000000004E-2</v>
      </c>
      <c r="S294" s="5">
        <v>1.01</v>
      </c>
      <c r="T294" s="5">
        <v>1.7000000000000001E-2</v>
      </c>
      <c r="U294" s="7" t="s">
        <v>245</v>
      </c>
    </row>
    <row r="295" spans="1:21" x14ac:dyDescent="0.25">
      <c r="L295" s="2" t="s">
        <v>141</v>
      </c>
      <c r="M295" s="2" t="s">
        <v>5</v>
      </c>
      <c r="O295" s="2">
        <v>3</v>
      </c>
      <c r="P295" s="2">
        <v>55</v>
      </c>
      <c r="Q295" s="4">
        <v>1.44</v>
      </c>
      <c r="R295" s="4">
        <v>0.06</v>
      </c>
      <c r="S295" s="5">
        <v>1.17</v>
      </c>
      <c r="T295" s="5">
        <v>1.6E-2</v>
      </c>
    </row>
    <row r="296" spans="1:21" x14ac:dyDescent="0.25">
      <c r="L296" s="2" t="s">
        <v>142</v>
      </c>
      <c r="M296" s="2" t="s">
        <v>5</v>
      </c>
      <c r="O296" s="2">
        <v>3</v>
      </c>
      <c r="P296" s="2">
        <v>110</v>
      </c>
      <c r="Q296" s="4">
        <v>1.73</v>
      </c>
      <c r="R296" s="4">
        <v>0.01</v>
      </c>
      <c r="S296" s="5">
        <v>1.28</v>
      </c>
      <c r="T296" s="5">
        <v>1.2999999999999999E-2</v>
      </c>
    </row>
    <row r="297" spans="1:21" x14ac:dyDescent="0.25">
      <c r="L297" s="2" t="s">
        <v>143</v>
      </c>
      <c r="M297" s="2" t="s">
        <v>5</v>
      </c>
      <c r="O297" s="2">
        <v>3</v>
      </c>
      <c r="P297" s="2">
        <v>220</v>
      </c>
      <c r="Q297" s="4">
        <v>2.62</v>
      </c>
      <c r="R297" s="4">
        <v>3.3000000000000002E-2</v>
      </c>
      <c r="S297" s="5">
        <v>1.1499999999999999</v>
      </c>
      <c r="T297" s="5">
        <v>2.7E-2</v>
      </c>
    </row>
    <row r="298" spans="1:21" x14ac:dyDescent="0.25">
      <c r="J298" s="2" t="s">
        <v>112</v>
      </c>
      <c r="K298" s="1">
        <v>2023</v>
      </c>
      <c r="L298" s="2" t="s">
        <v>7</v>
      </c>
      <c r="O298" s="2">
        <v>3</v>
      </c>
      <c r="P298" s="2">
        <v>0</v>
      </c>
      <c r="Q298" s="4">
        <v>0.62</v>
      </c>
      <c r="R298" s="4">
        <v>2.5000000000000001E-2</v>
      </c>
      <c r="S298" s="5">
        <v>1.0900000000000001</v>
      </c>
      <c r="T298" s="5">
        <v>3.2000000000000001E-2</v>
      </c>
    </row>
    <row r="299" spans="1:21" x14ac:dyDescent="0.25">
      <c r="L299" s="2" t="s">
        <v>141</v>
      </c>
      <c r="M299" s="2" t="s">
        <v>5</v>
      </c>
      <c r="O299" s="2">
        <v>3</v>
      </c>
      <c r="P299" s="2">
        <v>55</v>
      </c>
      <c r="Q299" s="4">
        <v>0.99</v>
      </c>
      <c r="R299" s="4">
        <v>0.03</v>
      </c>
      <c r="S299" s="5">
        <v>1.2</v>
      </c>
      <c r="T299" s="5">
        <v>1.4999999999999999E-2</v>
      </c>
    </row>
    <row r="300" spans="1:21" x14ac:dyDescent="0.25">
      <c r="L300" s="2" t="s">
        <v>142</v>
      </c>
      <c r="M300" s="2" t="s">
        <v>5</v>
      </c>
      <c r="O300" s="2">
        <v>3</v>
      </c>
      <c r="P300" s="2">
        <v>110</v>
      </c>
      <c r="Q300" s="4">
        <v>1.07</v>
      </c>
      <c r="R300" s="4">
        <v>3.3000000000000002E-2</v>
      </c>
      <c r="S300" s="5">
        <v>1.33</v>
      </c>
      <c r="T300" s="5">
        <v>0.03</v>
      </c>
    </row>
    <row r="301" spans="1:21" x14ac:dyDescent="0.25">
      <c r="L301" s="2" t="s">
        <v>143</v>
      </c>
      <c r="M301" s="2" t="s">
        <v>5</v>
      </c>
      <c r="O301" s="2">
        <v>3</v>
      </c>
      <c r="P301" s="2">
        <v>220</v>
      </c>
      <c r="Q301" s="4">
        <v>1.49</v>
      </c>
      <c r="R301" s="4">
        <v>2.5000000000000001E-2</v>
      </c>
      <c r="S301" s="5">
        <v>1.25</v>
      </c>
      <c r="T301" s="5">
        <v>2.3E-2</v>
      </c>
    </row>
    <row r="302" spans="1:21" x14ac:dyDescent="0.25">
      <c r="A302" s="1" t="s">
        <v>2</v>
      </c>
      <c r="B302" s="1">
        <v>35.14</v>
      </c>
      <c r="C302" s="1">
        <v>107.41</v>
      </c>
      <c r="D302" s="1">
        <v>9.1</v>
      </c>
      <c r="F302" s="1">
        <v>6.26</v>
      </c>
      <c r="G302" s="1">
        <v>1.03</v>
      </c>
      <c r="H302" s="1">
        <v>1.24</v>
      </c>
      <c r="I302" s="1">
        <v>8.33</v>
      </c>
      <c r="J302" s="2" t="s">
        <v>144</v>
      </c>
      <c r="K302" s="1" t="s">
        <v>107</v>
      </c>
      <c r="M302" s="2" t="s">
        <v>5</v>
      </c>
      <c r="O302" s="2">
        <v>3</v>
      </c>
      <c r="P302" s="2">
        <v>311.5</v>
      </c>
      <c r="Q302" s="4">
        <v>1.5272727269999999</v>
      </c>
      <c r="R302" s="4">
        <v>9.5454545000000002E-2</v>
      </c>
      <c r="U302" s="7" t="s">
        <v>239</v>
      </c>
    </row>
    <row r="303" spans="1:21" x14ac:dyDescent="0.25">
      <c r="A303" s="1" t="s">
        <v>2</v>
      </c>
      <c r="B303" s="1">
        <v>35.130000000000003</v>
      </c>
      <c r="C303" s="1">
        <v>107.4</v>
      </c>
      <c r="D303" s="1">
        <v>9.1</v>
      </c>
      <c r="E303" s="1">
        <v>582</v>
      </c>
      <c r="F303" s="1">
        <v>8.1199999999999992</v>
      </c>
      <c r="G303" s="1">
        <v>1.3</v>
      </c>
      <c r="H303" s="1">
        <v>1.32</v>
      </c>
      <c r="I303" s="1">
        <v>8.5500000000000007</v>
      </c>
      <c r="J303" s="2" t="s">
        <v>144</v>
      </c>
      <c r="K303" s="1" t="s">
        <v>99</v>
      </c>
      <c r="L303" s="2" t="s">
        <v>7</v>
      </c>
      <c r="O303" s="2">
        <v>3</v>
      </c>
      <c r="P303" s="2">
        <v>0</v>
      </c>
      <c r="Q303" s="4">
        <v>3.03</v>
      </c>
      <c r="R303" s="4">
        <v>0.32</v>
      </c>
      <c r="U303" s="6" t="s">
        <v>218</v>
      </c>
    </row>
    <row r="304" spans="1:21" x14ac:dyDescent="0.25">
      <c r="L304" s="2" t="s">
        <v>64</v>
      </c>
      <c r="M304" s="2" t="s">
        <v>5</v>
      </c>
      <c r="O304" s="2">
        <v>3</v>
      </c>
      <c r="P304" s="2">
        <f>487.48+347.98+337.48</f>
        <v>1172.94</v>
      </c>
      <c r="Q304" s="4">
        <v>8.33</v>
      </c>
      <c r="R304" s="4">
        <v>0.52</v>
      </c>
    </row>
    <row r="305" spans="1:21" x14ac:dyDescent="0.25">
      <c r="L305" s="2" t="s">
        <v>145</v>
      </c>
      <c r="N305" s="2" t="s">
        <v>146</v>
      </c>
      <c r="O305" s="2">
        <v>3</v>
      </c>
      <c r="P305" s="2">
        <v>0</v>
      </c>
      <c r="Q305" s="4">
        <v>3.19</v>
      </c>
      <c r="R305" s="4">
        <v>0.17</v>
      </c>
    </row>
    <row r="306" spans="1:21" x14ac:dyDescent="0.25">
      <c r="L306" s="2" t="s">
        <v>147</v>
      </c>
      <c r="M306" s="2" t="s">
        <v>5</v>
      </c>
      <c r="N306" s="2" t="s">
        <v>146</v>
      </c>
      <c r="O306" s="2">
        <v>3</v>
      </c>
      <c r="P306" s="2">
        <f>487.48+347.98+337.48</f>
        <v>1172.94</v>
      </c>
      <c r="Q306" s="4">
        <v>13.84</v>
      </c>
      <c r="R306" s="4">
        <v>0.51</v>
      </c>
    </row>
    <row r="307" spans="1:21" x14ac:dyDescent="0.25">
      <c r="J307" s="2" t="s">
        <v>144</v>
      </c>
      <c r="K307" s="1" t="s">
        <v>148</v>
      </c>
      <c r="L307" s="2" t="s">
        <v>7</v>
      </c>
      <c r="O307" s="2">
        <v>3</v>
      </c>
      <c r="P307" s="2">
        <v>0</v>
      </c>
      <c r="Q307" s="4">
        <v>5.52</v>
      </c>
      <c r="R307" s="4">
        <v>0.22</v>
      </c>
      <c r="S307" s="5">
        <v>42.3</v>
      </c>
      <c r="T307" s="5">
        <v>2.5</v>
      </c>
    </row>
    <row r="308" spans="1:21" x14ac:dyDescent="0.25">
      <c r="L308" s="2" t="s">
        <v>64</v>
      </c>
      <c r="M308" s="2" t="s">
        <v>5</v>
      </c>
      <c r="O308" s="2">
        <v>3</v>
      </c>
      <c r="P308" s="2">
        <f>524.97+344.98+134.99</f>
        <v>1004.94</v>
      </c>
      <c r="Q308" s="4">
        <v>8.89</v>
      </c>
      <c r="R308" s="4">
        <v>0.3</v>
      </c>
      <c r="S308" s="5">
        <v>41.6</v>
      </c>
      <c r="T308" s="5">
        <v>1.4</v>
      </c>
    </row>
    <row r="309" spans="1:21" x14ac:dyDescent="0.25">
      <c r="L309" s="2" t="s">
        <v>145</v>
      </c>
      <c r="N309" s="2" t="s">
        <v>146</v>
      </c>
      <c r="O309" s="2">
        <v>3</v>
      </c>
      <c r="P309" s="2">
        <v>0</v>
      </c>
      <c r="Q309" s="4">
        <v>5.96</v>
      </c>
      <c r="R309" s="4">
        <v>0.5</v>
      </c>
      <c r="S309" s="5">
        <v>42.3</v>
      </c>
      <c r="T309" s="5">
        <v>3.58</v>
      </c>
    </row>
    <row r="310" spans="1:21" x14ac:dyDescent="0.25">
      <c r="L310" s="2" t="s">
        <v>147</v>
      </c>
      <c r="M310" s="2" t="s">
        <v>5</v>
      </c>
      <c r="N310" s="2" t="s">
        <v>146</v>
      </c>
      <c r="O310" s="2">
        <v>3</v>
      </c>
      <c r="P310" s="2">
        <f>524.97+344.98+134.99</f>
        <v>1004.94</v>
      </c>
      <c r="Q310" s="4">
        <v>9.4</v>
      </c>
      <c r="R310" s="4">
        <v>0.22</v>
      </c>
      <c r="S310" s="5">
        <v>43.5</v>
      </c>
      <c r="T310" s="5">
        <v>2.9</v>
      </c>
    </row>
    <row r="311" spans="1:21" x14ac:dyDescent="0.25">
      <c r="A311" s="1" t="s">
        <v>2</v>
      </c>
      <c r="B311" s="1">
        <v>35.21</v>
      </c>
      <c r="C311" s="1">
        <v>109.56</v>
      </c>
      <c r="F311" s="1">
        <v>13</v>
      </c>
      <c r="G311" s="1">
        <v>1.05</v>
      </c>
      <c r="H311" s="1">
        <v>1.4</v>
      </c>
      <c r="I311" s="1">
        <v>8.3000000000000007</v>
      </c>
      <c r="J311" s="2" t="s">
        <v>144</v>
      </c>
      <c r="K311" s="1">
        <v>2018</v>
      </c>
      <c r="L311" s="2" t="s">
        <v>149</v>
      </c>
      <c r="N311" s="2" t="s">
        <v>11</v>
      </c>
      <c r="O311" s="2">
        <v>3</v>
      </c>
      <c r="P311" s="2">
        <v>0</v>
      </c>
      <c r="Q311" s="4">
        <v>0.51545454499999999</v>
      </c>
      <c r="R311" s="4">
        <v>3.8181817999999999E-2</v>
      </c>
      <c r="S311" s="5">
        <v>28.54</v>
      </c>
      <c r="T311" s="5">
        <v>4.05</v>
      </c>
      <c r="U311" s="7" t="s">
        <v>246</v>
      </c>
    </row>
    <row r="312" spans="1:21" x14ac:dyDescent="0.25">
      <c r="L312" s="2" t="s">
        <v>150</v>
      </c>
      <c r="M312" s="2" t="s">
        <v>151</v>
      </c>
      <c r="N312" s="2" t="s">
        <v>11</v>
      </c>
      <c r="O312" s="2">
        <v>3</v>
      </c>
      <c r="P312" s="2">
        <v>68</v>
      </c>
      <c r="Q312" s="4">
        <v>0.94499999999999995</v>
      </c>
      <c r="R312" s="4">
        <v>1.9090909E-2</v>
      </c>
      <c r="S312" s="5">
        <v>40.04</v>
      </c>
      <c r="T312" s="5">
        <v>4.08</v>
      </c>
    </row>
    <row r="313" spans="1:21" x14ac:dyDescent="0.25">
      <c r="L313" s="2" t="s">
        <v>152</v>
      </c>
      <c r="M313" s="2" t="s">
        <v>5</v>
      </c>
      <c r="N313" s="2" t="s">
        <v>11</v>
      </c>
      <c r="O313" s="2">
        <v>3</v>
      </c>
      <c r="P313" s="2">
        <v>675</v>
      </c>
      <c r="Q313" s="4">
        <v>1.221818182</v>
      </c>
      <c r="R313" s="4">
        <v>3.1818182E-2</v>
      </c>
      <c r="S313" s="5">
        <v>23.91</v>
      </c>
      <c r="T313" s="5">
        <v>2.5099999999999998</v>
      </c>
    </row>
    <row r="314" spans="1:21" x14ac:dyDescent="0.25">
      <c r="L314" s="2" t="s">
        <v>153</v>
      </c>
      <c r="M314" s="2" t="s">
        <v>97</v>
      </c>
      <c r="N314" s="2" t="s">
        <v>11</v>
      </c>
      <c r="O314" s="2">
        <v>3</v>
      </c>
      <c r="P314" s="2">
        <v>675</v>
      </c>
      <c r="Q314" s="4">
        <v>1.0563636359999999</v>
      </c>
      <c r="R314" s="4">
        <v>1.9090909E-2</v>
      </c>
      <c r="S314" s="5">
        <v>51.72</v>
      </c>
      <c r="T314" s="5">
        <v>5</v>
      </c>
    </row>
    <row r="315" spans="1:21" x14ac:dyDescent="0.25">
      <c r="J315" s="2" t="s">
        <v>144</v>
      </c>
      <c r="K315" s="1">
        <v>2019</v>
      </c>
      <c r="L315" s="2" t="s">
        <v>154</v>
      </c>
      <c r="N315" s="2" t="s">
        <v>11</v>
      </c>
      <c r="O315" s="2">
        <v>3</v>
      </c>
      <c r="P315" s="2">
        <v>0</v>
      </c>
      <c r="Q315" s="4">
        <v>0.7</v>
      </c>
      <c r="R315" s="4">
        <v>1.9090909E-2</v>
      </c>
      <c r="S315" s="5">
        <v>28.53</v>
      </c>
      <c r="T315" s="5">
        <v>5.92</v>
      </c>
    </row>
    <row r="316" spans="1:21" x14ac:dyDescent="0.25">
      <c r="L316" s="2" t="s">
        <v>155</v>
      </c>
      <c r="M316" s="2" t="s">
        <v>151</v>
      </c>
      <c r="N316" s="2" t="s">
        <v>11</v>
      </c>
      <c r="O316" s="2">
        <v>3</v>
      </c>
      <c r="P316" s="2">
        <v>68</v>
      </c>
      <c r="Q316" s="4">
        <v>1.6609090909999999</v>
      </c>
      <c r="R316" s="4">
        <v>0.31818181800000001</v>
      </c>
      <c r="S316" s="5">
        <v>65.180000000000007</v>
      </c>
      <c r="T316" s="5">
        <v>8.5</v>
      </c>
    </row>
    <row r="317" spans="1:21" x14ac:dyDescent="0.25">
      <c r="L317" s="2" t="s">
        <v>156</v>
      </c>
      <c r="M317" s="2" t="s">
        <v>5</v>
      </c>
      <c r="N317" s="2" t="s">
        <v>11</v>
      </c>
      <c r="O317" s="2">
        <v>3</v>
      </c>
      <c r="P317" s="2">
        <v>675</v>
      </c>
      <c r="Q317" s="4">
        <v>1.9059090910000001</v>
      </c>
      <c r="R317" s="4">
        <v>7.0000000000000007E-2</v>
      </c>
      <c r="S317" s="5">
        <v>50.35</v>
      </c>
      <c r="T317" s="5">
        <v>10.6</v>
      </c>
    </row>
    <row r="318" spans="1:21" x14ac:dyDescent="0.25">
      <c r="L318" s="2" t="s">
        <v>157</v>
      </c>
      <c r="M318" s="2" t="s">
        <v>97</v>
      </c>
      <c r="N318" s="2" t="s">
        <v>11</v>
      </c>
      <c r="O318" s="2">
        <v>3</v>
      </c>
      <c r="P318" s="2">
        <v>675</v>
      </c>
      <c r="Q318" s="4">
        <v>2.1</v>
      </c>
      <c r="R318" s="4">
        <v>9.5454545000000002E-2</v>
      </c>
      <c r="S318" s="5">
        <v>93.43</v>
      </c>
      <c r="T318" s="5">
        <v>11.96</v>
      </c>
    </row>
    <row r="319" spans="1:21" x14ac:dyDescent="0.25">
      <c r="J319" s="2" t="s">
        <v>144</v>
      </c>
      <c r="K319" s="1">
        <v>2020</v>
      </c>
      <c r="L319" s="2" t="s">
        <v>149</v>
      </c>
      <c r="N319" s="2" t="s">
        <v>11</v>
      </c>
      <c r="O319" s="2">
        <v>3</v>
      </c>
      <c r="P319" s="2">
        <v>0</v>
      </c>
      <c r="Q319" s="4">
        <v>0.89090909100000004</v>
      </c>
      <c r="R319" s="4">
        <v>2.5454544999999999E-2</v>
      </c>
      <c r="S319" s="5">
        <v>30.98</v>
      </c>
      <c r="T319" s="5">
        <v>5.73</v>
      </c>
    </row>
    <row r="320" spans="1:21" x14ac:dyDescent="0.25">
      <c r="L320" s="2" t="s">
        <v>150</v>
      </c>
      <c r="M320" s="2" t="s">
        <v>151</v>
      </c>
      <c r="N320" s="2" t="s">
        <v>11</v>
      </c>
      <c r="O320" s="2">
        <v>3</v>
      </c>
      <c r="P320" s="2">
        <v>68</v>
      </c>
      <c r="Q320" s="4">
        <v>1.988636364</v>
      </c>
      <c r="R320" s="4">
        <v>1.2727273000000001E-2</v>
      </c>
      <c r="S320" s="5">
        <v>61.11</v>
      </c>
      <c r="T320" s="5">
        <v>12.96</v>
      </c>
    </row>
    <row r="321" spans="1:21" x14ac:dyDescent="0.25">
      <c r="L321" s="2" t="s">
        <v>152</v>
      </c>
      <c r="M321" s="2" t="s">
        <v>5</v>
      </c>
      <c r="N321" s="2" t="s">
        <v>11</v>
      </c>
      <c r="O321" s="2">
        <v>3</v>
      </c>
      <c r="P321" s="2">
        <v>675</v>
      </c>
      <c r="Q321" s="4">
        <v>2.3131818179999999</v>
      </c>
      <c r="R321" s="4">
        <v>1.9090909E-2</v>
      </c>
      <c r="S321" s="5">
        <v>45.44</v>
      </c>
      <c r="T321" s="5">
        <v>5.86</v>
      </c>
    </row>
    <row r="322" spans="1:21" x14ac:dyDescent="0.25">
      <c r="L322" s="2" t="s">
        <v>153</v>
      </c>
      <c r="M322" s="2" t="s">
        <v>97</v>
      </c>
      <c r="N322" s="2" t="s">
        <v>11</v>
      </c>
      <c r="O322" s="2">
        <v>3</v>
      </c>
      <c r="P322" s="2">
        <v>675</v>
      </c>
      <c r="Q322" s="4">
        <v>2.5359090910000002</v>
      </c>
      <c r="R322" s="4">
        <v>8.9090908999999996E-2</v>
      </c>
      <c r="S322" s="5">
        <v>58.6</v>
      </c>
      <c r="T322" s="5">
        <v>9.48</v>
      </c>
    </row>
    <row r="323" spans="1:21" x14ac:dyDescent="0.25">
      <c r="A323" s="1" t="s">
        <v>2</v>
      </c>
      <c r="B323" s="1">
        <v>35.21</v>
      </c>
      <c r="C323" s="1">
        <v>109.56</v>
      </c>
      <c r="F323" s="1">
        <v>13</v>
      </c>
      <c r="G323" s="1">
        <v>1.05</v>
      </c>
      <c r="H323" s="1">
        <v>1.4</v>
      </c>
      <c r="I323" s="1">
        <v>8.3000000000000007</v>
      </c>
      <c r="J323" s="2" t="s">
        <v>144</v>
      </c>
      <c r="K323" s="1">
        <v>2018</v>
      </c>
      <c r="L323" s="2" t="s">
        <v>7</v>
      </c>
      <c r="N323" s="2" t="s">
        <v>11</v>
      </c>
      <c r="O323" s="2">
        <v>3</v>
      </c>
      <c r="P323" s="2">
        <v>0</v>
      </c>
      <c r="Q323" s="4">
        <v>0.60454545500000001</v>
      </c>
      <c r="R323" s="4">
        <v>1.2727273000000001E-2</v>
      </c>
      <c r="S323" s="5">
        <v>20.12</v>
      </c>
      <c r="T323" s="5">
        <v>2.2200000000000002</v>
      </c>
      <c r="U323" s="7" t="s">
        <v>246</v>
      </c>
    </row>
    <row r="324" spans="1:21" x14ac:dyDescent="0.25">
      <c r="L324" s="2" t="s">
        <v>158</v>
      </c>
      <c r="M324" s="2" t="s">
        <v>151</v>
      </c>
      <c r="N324" s="2" t="s">
        <v>11</v>
      </c>
      <c r="O324" s="2">
        <v>3</v>
      </c>
      <c r="P324" s="2">
        <v>192</v>
      </c>
      <c r="Q324" s="4">
        <v>0.98318181800000004</v>
      </c>
      <c r="R324" s="4">
        <v>7.0000000000000007E-2</v>
      </c>
      <c r="S324" s="5">
        <v>32.130000000000003</v>
      </c>
      <c r="T324" s="5">
        <v>4.8600000000000003</v>
      </c>
    </row>
    <row r="325" spans="1:21" x14ac:dyDescent="0.25">
      <c r="L325" s="2" t="s">
        <v>159</v>
      </c>
      <c r="M325" s="2" t="s">
        <v>5</v>
      </c>
      <c r="N325" s="2" t="s">
        <v>11</v>
      </c>
      <c r="O325" s="2">
        <v>3</v>
      </c>
      <c r="P325" s="2">
        <f>115.2+38.4+38.4</f>
        <v>192</v>
      </c>
      <c r="Q325" s="4">
        <v>1.1390909090000001</v>
      </c>
      <c r="R325" s="4">
        <v>7.6363635999999999E-2</v>
      </c>
      <c r="S325" s="5">
        <v>28.38</v>
      </c>
      <c r="T325" s="5">
        <v>5.2</v>
      </c>
    </row>
    <row r="326" spans="1:21" x14ac:dyDescent="0.25">
      <c r="L326" s="2" t="s">
        <v>160</v>
      </c>
      <c r="M326" s="2" t="s">
        <v>97</v>
      </c>
      <c r="N326" s="2" t="s">
        <v>11</v>
      </c>
      <c r="O326" s="2">
        <v>3</v>
      </c>
      <c r="P326" s="2">
        <v>192</v>
      </c>
      <c r="Q326" s="4">
        <v>1.3952272729999999</v>
      </c>
      <c r="R326" s="4">
        <v>0.152727273</v>
      </c>
      <c r="S326" s="5">
        <v>38.729999999999997</v>
      </c>
      <c r="T326" s="5">
        <v>1.01</v>
      </c>
    </row>
    <row r="327" spans="1:21" x14ac:dyDescent="0.25">
      <c r="J327" s="2" t="s">
        <v>144</v>
      </c>
      <c r="K327" s="1">
        <v>2019</v>
      </c>
      <c r="L327" s="2" t="s">
        <v>7</v>
      </c>
      <c r="N327" s="2" t="s">
        <v>11</v>
      </c>
      <c r="O327" s="2">
        <v>3</v>
      </c>
      <c r="P327" s="2">
        <v>0</v>
      </c>
      <c r="Q327" s="4">
        <v>0.79545454500000001</v>
      </c>
      <c r="R327" s="4">
        <v>0.152727273</v>
      </c>
      <c r="S327" s="5">
        <v>23.59</v>
      </c>
      <c r="T327" s="5">
        <v>3.22</v>
      </c>
    </row>
    <row r="328" spans="1:21" x14ac:dyDescent="0.25">
      <c r="L328" s="2" t="s">
        <v>158</v>
      </c>
      <c r="M328" s="2" t="s">
        <v>151</v>
      </c>
      <c r="N328" s="2" t="s">
        <v>11</v>
      </c>
      <c r="O328" s="2">
        <v>3</v>
      </c>
      <c r="P328" s="2">
        <v>192</v>
      </c>
      <c r="Q328" s="4">
        <v>1.6529545450000001</v>
      </c>
      <c r="R328" s="4">
        <v>1.2727273000000001E-2</v>
      </c>
      <c r="S328" s="5">
        <v>53.98</v>
      </c>
      <c r="T328" s="5">
        <v>2.66</v>
      </c>
    </row>
    <row r="329" spans="1:21" x14ac:dyDescent="0.25">
      <c r="L329" s="2" t="s">
        <v>159</v>
      </c>
      <c r="M329" s="2" t="s">
        <v>5</v>
      </c>
      <c r="N329" s="2" t="s">
        <v>11</v>
      </c>
      <c r="O329" s="2">
        <v>3</v>
      </c>
      <c r="P329" s="2">
        <f>115.2+38.4+38.4</f>
        <v>192</v>
      </c>
      <c r="Q329" s="4">
        <v>1.835909091</v>
      </c>
      <c r="R329" s="4">
        <v>3.8181817999999999E-2</v>
      </c>
      <c r="S329" s="5">
        <v>34.869999999999997</v>
      </c>
      <c r="T329" s="5">
        <v>1.35</v>
      </c>
    </row>
    <row r="330" spans="1:21" x14ac:dyDescent="0.25">
      <c r="L330" s="2" t="s">
        <v>160</v>
      </c>
      <c r="M330" s="2" t="s">
        <v>97</v>
      </c>
      <c r="N330" s="2" t="s">
        <v>11</v>
      </c>
      <c r="O330" s="2">
        <v>3</v>
      </c>
      <c r="P330" s="2">
        <v>192</v>
      </c>
      <c r="Q330" s="4">
        <v>2.1031818179999999</v>
      </c>
      <c r="R330" s="4">
        <v>3.8181817999999999E-2</v>
      </c>
      <c r="S330" s="5">
        <v>69.709999999999994</v>
      </c>
      <c r="T330" s="5">
        <v>4.3</v>
      </c>
    </row>
    <row r="331" spans="1:21" x14ac:dyDescent="0.25">
      <c r="J331" s="2" t="s">
        <v>144</v>
      </c>
      <c r="K331" s="1">
        <v>2020</v>
      </c>
      <c r="L331" s="2" t="s">
        <v>7</v>
      </c>
      <c r="N331" s="2" t="s">
        <v>11</v>
      </c>
      <c r="O331" s="2">
        <v>3</v>
      </c>
      <c r="P331" s="2">
        <v>0</v>
      </c>
      <c r="Q331" s="4">
        <v>1.1200000000000001</v>
      </c>
      <c r="R331" s="4">
        <v>1.2727273000000001E-2</v>
      </c>
      <c r="S331" s="5">
        <v>27.3</v>
      </c>
      <c r="T331" s="5">
        <v>3.1</v>
      </c>
    </row>
    <row r="332" spans="1:21" x14ac:dyDescent="0.25">
      <c r="L332" s="2" t="s">
        <v>158</v>
      </c>
      <c r="M332" s="2" t="s">
        <v>151</v>
      </c>
      <c r="N332" s="2" t="s">
        <v>11</v>
      </c>
      <c r="O332" s="2">
        <v>3</v>
      </c>
      <c r="P332" s="2">
        <v>192</v>
      </c>
      <c r="Q332" s="4">
        <v>2.0109090909999998</v>
      </c>
      <c r="R332" s="4">
        <v>1.9090909E-2</v>
      </c>
      <c r="S332" s="5">
        <v>47.19</v>
      </c>
      <c r="T332" s="5">
        <v>2.93</v>
      </c>
    </row>
    <row r="333" spans="1:21" x14ac:dyDescent="0.25">
      <c r="L333" s="2" t="s">
        <v>159</v>
      </c>
      <c r="M333" s="2" t="s">
        <v>5</v>
      </c>
      <c r="N333" s="2" t="s">
        <v>11</v>
      </c>
      <c r="O333" s="2">
        <v>3</v>
      </c>
      <c r="P333" s="2">
        <f>115.2+38.4+38.4</f>
        <v>192</v>
      </c>
      <c r="Q333" s="4">
        <v>2.2400000000000002</v>
      </c>
      <c r="R333" s="4">
        <v>7.6363635999999999E-2</v>
      </c>
      <c r="S333" s="5">
        <v>35.22</v>
      </c>
      <c r="T333" s="5">
        <v>3.9</v>
      </c>
    </row>
    <row r="334" spans="1:21" x14ac:dyDescent="0.25">
      <c r="L334" s="2" t="s">
        <v>160</v>
      </c>
      <c r="M334" s="2" t="s">
        <v>97</v>
      </c>
      <c r="N334" s="2" t="s">
        <v>11</v>
      </c>
      <c r="O334" s="2">
        <v>3</v>
      </c>
      <c r="P334" s="2">
        <v>192</v>
      </c>
      <c r="Q334" s="4">
        <v>2.5438636360000002</v>
      </c>
      <c r="R334" s="4">
        <v>1.9090909E-2</v>
      </c>
      <c r="S334" s="5">
        <v>50.82</v>
      </c>
      <c r="T334" s="5">
        <v>2.4300000000000002</v>
      </c>
    </row>
    <row r="335" spans="1:21" x14ac:dyDescent="0.25">
      <c r="A335" s="1" t="s">
        <v>2</v>
      </c>
      <c r="B335" s="1">
        <v>35.130000000000003</v>
      </c>
      <c r="C335" s="1">
        <v>107.4</v>
      </c>
      <c r="D335" s="1">
        <v>9.1</v>
      </c>
      <c r="E335" s="1">
        <v>582</v>
      </c>
      <c r="F335" s="1">
        <v>8.4</v>
      </c>
      <c r="G335" s="1">
        <v>1.2</v>
      </c>
      <c r="H335" s="1">
        <v>1.3</v>
      </c>
      <c r="I335" s="1">
        <v>8.3000000000000007</v>
      </c>
      <c r="J335" s="2" t="s">
        <v>144</v>
      </c>
      <c r="K335" s="1" t="s">
        <v>161</v>
      </c>
      <c r="L335" s="2" t="s">
        <v>7</v>
      </c>
      <c r="O335" s="2">
        <v>3</v>
      </c>
      <c r="P335" s="2">
        <v>0</v>
      </c>
      <c r="Q335" s="4">
        <v>1.36</v>
      </c>
      <c r="R335" s="4">
        <v>7.0000000000000007E-2</v>
      </c>
      <c r="U335" s="7" t="s">
        <v>247</v>
      </c>
    </row>
    <row r="336" spans="1:21" x14ac:dyDescent="0.25">
      <c r="L336" s="2" t="s">
        <v>162</v>
      </c>
      <c r="M336" s="2" t="s">
        <v>5</v>
      </c>
      <c r="O336" s="2">
        <v>3</v>
      </c>
      <c r="P336" s="2">
        <v>690</v>
      </c>
      <c r="Q336" s="4">
        <v>3.89</v>
      </c>
      <c r="R336" s="4">
        <v>0.14000000000000001</v>
      </c>
    </row>
    <row r="337" spans="1:21" x14ac:dyDescent="0.25">
      <c r="F337" s="1">
        <v>8.1</v>
      </c>
      <c r="G337" s="1">
        <v>1.3</v>
      </c>
      <c r="H337" s="1">
        <v>1.3</v>
      </c>
      <c r="I337" s="1">
        <v>8.6</v>
      </c>
      <c r="J337" s="2" t="s">
        <v>144</v>
      </c>
      <c r="K337" s="1" t="s">
        <v>161</v>
      </c>
      <c r="L337" s="2" t="s">
        <v>7</v>
      </c>
      <c r="O337" s="2">
        <v>3</v>
      </c>
      <c r="P337" s="2">
        <v>0</v>
      </c>
      <c r="Q337" s="4">
        <v>4.2699999999999996</v>
      </c>
      <c r="R337" s="4">
        <v>0.16</v>
      </c>
    </row>
    <row r="338" spans="1:21" x14ac:dyDescent="0.25">
      <c r="L338" s="2" t="s">
        <v>162</v>
      </c>
      <c r="M338" s="2" t="s">
        <v>5</v>
      </c>
      <c r="O338" s="2">
        <v>3</v>
      </c>
      <c r="P338" s="2">
        <v>1089</v>
      </c>
      <c r="Q338" s="4">
        <v>8.58</v>
      </c>
      <c r="R338" s="4">
        <v>0.16</v>
      </c>
    </row>
    <row r="339" spans="1:21" x14ac:dyDescent="0.25">
      <c r="F339" s="1">
        <v>10.3</v>
      </c>
      <c r="G339" s="1">
        <v>1.7</v>
      </c>
      <c r="H339" s="1">
        <v>1.3</v>
      </c>
      <c r="I339" s="1">
        <v>8.5</v>
      </c>
      <c r="J339" s="2" t="s">
        <v>144</v>
      </c>
      <c r="L339" s="2" t="s">
        <v>7</v>
      </c>
      <c r="O339" s="2">
        <v>3</v>
      </c>
      <c r="P339" s="2">
        <v>0</v>
      </c>
      <c r="Q339" s="4">
        <v>1.53</v>
      </c>
      <c r="R339" s="4">
        <v>0.2</v>
      </c>
    </row>
    <row r="340" spans="1:21" x14ac:dyDescent="0.25">
      <c r="L340" s="2" t="s">
        <v>162</v>
      </c>
      <c r="M340" s="2" t="s">
        <v>5</v>
      </c>
      <c r="O340" s="2">
        <v>3</v>
      </c>
      <c r="P340" s="2">
        <v>747</v>
      </c>
      <c r="Q340" s="4">
        <v>5.6</v>
      </c>
      <c r="R340" s="4">
        <v>0.2</v>
      </c>
    </row>
    <row r="341" spans="1:21" x14ac:dyDescent="0.25">
      <c r="A341" s="1" t="s">
        <v>2</v>
      </c>
      <c r="B341" s="1" t="s">
        <v>163</v>
      </c>
      <c r="C341" s="1" t="s">
        <v>164</v>
      </c>
      <c r="D341" s="1">
        <v>9.1</v>
      </c>
      <c r="E341" s="1">
        <v>616</v>
      </c>
      <c r="F341" s="1">
        <v>8.6</v>
      </c>
      <c r="H341" s="1">
        <v>1.36</v>
      </c>
      <c r="I341" s="1">
        <v>8.1</v>
      </c>
      <c r="J341" s="2" t="s">
        <v>144</v>
      </c>
      <c r="K341" s="1" t="s">
        <v>99</v>
      </c>
      <c r="L341" s="2" t="s">
        <v>7</v>
      </c>
      <c r="O341" s="2">
        <v>3</v>
      </c>
      <c r="P341" s="2">
        <v>0</v>
      </c>
      <c r="Q341" s="4">
        <v>1.07</v>
      </c>
      <c r="R341" s="4">
        <v>0.24</v>
      </c>
      <c r="U341" s="7" t="s">
        <v>249</v>
      </c>
    </row>
    <row r="342" spans="1:21" x14ac:dyDescent="0.25">
      <c r="L342" s="2" t="s">
        <v>165</v>
      </c>
      <c r="M342" s="2" t="s">
        <v>5</v>
      </c>
      <c r="O342" s="2">
        <v>3</v>
      </c>
      <c r="P342" s="2">
        <v>800</v>
      </c>
      <c r="Q342" s="4">
        <v>5.41</v>
      </c>
      <c r="R342" s="4">
        <v>0.88</v>
      </c>
    </row>
    <row r="343" spans="1:21" x14ac:dyDescent="0.25">
      <c r="L343" s="2" t="s">
        <v>166</v>
      </c>
      <c r="M343" s="2" t="s">
        <v>5</v>
      </c>
      <c r="O343" s="2">
        <v>3</v>
      </c>
      <c r="P343" s="2">
        <v>400</v>
      </c>
      <c r="Q343" s="4">
        <v>2.94</v>
      </c>
      <c r="R343" s="4">
        <v>0.14000000000000001</v>
      </c>
    </row>
    <row r="344" spans="1:21" x14ac:dyDescent="0.25">
      <c r="L344" s="2" t="s">
        <v>167</v>
      </c>
      <c r="M344" s="2" t="s">
        <v>97</v>
      </c>
      <c r="O344" s="2">
        <v>3</v>
      </c>
      <c r="P344" s="2">
        <v>400</v>
      </c>
      <c r="Q344" s="4">
        <v>2.89</v>
      </c>
      <c r="R344" s="4">
        <v>0.17</v>
      </c>
    </row>
    <row r="345" spans="1:21" x14ac:dyDescent="0.25">
      <c r="J345" s="2" t="s">
        <v>144</v>
      </c>
      <c r="K345" s="1" t="s">
        <v>148</v>
      </c>
      <c r="L345" s="2" t="s">
        <v>7</v>
      </c>
      <c r="O345" s="2">
        <v>3</v>
      </c>
      <c r="P345" s="2">
        <v>0</v>
      </c>
      <c r="Q345" s="4">
        <v>1.1100000000000001</v>
      </c>
      <c r="R345" s="4">
        <v>0.08</v>
      </c>
      <c r="S345" s="5">
        <v>31.68</v>
      </c>
      <c r="T345" s="5">
        <v>0.92</v>
      </c>
    </row>
    <row r="346" spans="1:21" x14ac:dyDescent="0.25">
      <c r="L346" s="2" t="s">
        <v>165</v>
      </c>
      <c r="M346" s="2" t="s">
        <v>5</v>
      </c>
      <c r="O346" s="2">
        <v>3</v>
      </c>
      <c r="P346" s="2">
        <v>800</v>
      </c>
      <c r="Q346" s="4">
        <v>5.34</v>
      </c>
      <c r="R346" s="4">
        <v>0.7</v>
      </c>
      <c r="S346" s="5">
        <v>33.67</v>
      </c>
      <c r="T346" s="5">
        <v>3.73</v>
      </c>
    </row>
    <row r="347" spans="1:21" x14ac:dyDescent="0.25">
      <c r="L347" s="2" t="s">
        <v>166</v>
      </c>
      <c r="M347" s="2" t="s">
        <v>5</v>
      </c>
      <c r="O347" s="2">
        <v>3</v>
      </c>
      <c r="P347" s="2">
        <v>400</v>
      </c>
      <c r="Q347" s="4">
        <v>3.11</v>
      </c>
      <c r="R347" s="4">
        <v>0.32</v>
      </c>
      <c r="S347" s="5">
        <v>34.19</v>
      </c>
      <c r="T347" s="5">
        <v>2.17</v>
      </c>
    </row>
    <row r="348" spans="1:21" x14ac:dyDescent="0.25">
      <c r="L348" s="2" t="s">
        <v>167</v>
      </c>
      <c r="M348" s="2" t="s">
        <v>97</v>
      </c>
      <c r="O348" s="2">
        <v>3</v>
      </c>
      <c r="P348" s="2">
        <v>400</v>
      </c>
      <c r="Q348" s="4">
        <v>3.02</v>
      </c>
      <c r="R348" s="4">
        <v>0.2</v>
      </c>
      <c r="S348" s="5">
        <v>37.31</v>
      </c>
      <c r="T348" s="5">
        <v>2.86</v>
      </c>
    </row>
    <row r="349" spans="1:21" x14ac:dyDescent="0.25">
      <c r="A349" s="1" t="s">
        <v>2</v>
      </c>
      <c r="B349" s="1" t="s">
        <v>168</v>
      </c>
      <c r="C349" s="1" t="s">
        <v>169</v>
      </c>
      <c r="D349" s="1">
        <v>9.4</v>
      </c>
      <c r="E349" s="1">
        <v>500</v>
      </c>
      <c r="H349" s="1">
        <v>1.3</v>
      </c>
      <c r="J349" s="2" t="s">
        <v>144</v>
      </c>
      <c r="K349" s="1">
        <v>2020</v>
      </c>
      <c r="L349" s="2" t="s">
        <v>170</v>
      </c>
      <c r="M349" s="2" t="s">
        <v>97</v>
      </c>
      <c r="O349" s="2">
        <v>3</v>
      </c>
      <c r="P349" s="2">
        <f>1.6*500</f>
        <v>800</v>
      </c>
      <c r="Q349" s="4">
        <v>1.4827272730000001</v>
      </c>
      <c r="R349" s="4">
        <v>0.31818181800000001</v>
      </c>
      <c r="S349" s="5">
        <v>35.475000000000001</v>
      </c>
      <c r="T349" s="5">
        <v>10.916</v>
      </c>
      <c r="U349" s="7" t="s">
        <v>248</v>
      </c>
    </row>
    <row r="350" spans="1:21" x14ac:dyDescent="0.25">
      <c r="L350" s="2" t="s">
        <v>171</v>
      </c>
      <c r="M350" s="2" t="s">
        <v>5</v>
      </c>
      <c r="O350" s="2">
        <v>3</v>
      </c>
      <c r="P350" s="2">
        <f t="shared" ref="P350:P351" si="10">1.6*500</f>
        <v>800</v>
      </c>
      <c r="Q350" s="4">
        <v>1.393636364</v>
      </c>
      <c r="R350" s="4">
        <v>0.22909090900000001</v>
      </c>
      <c r="S350" s="5">
        <v>31.202000000000002</v>
      </c>
      <c r="T350" s="5">
        <v>6.2</v>
      </c>
    </row>
    <row r="351" spans="1:21" x14ac:dyDescent="0.25">
      <c r="L351" s="2" t="s">
        <v>172</v>
      </c>
      <c r="M351" s="2" t="s">
        <v>5</v>
      </c>
      <c r="O351" s="2">
        <v>3</v>
      </c>
      <c r="P351" s="2">
        <f t="shared" si="10"/>
        <v>800</v>
      </c>
      <c r="Q351" s="4">
        <v>1.4954545450000001</v>
      </c>
      <c r="R351" s="4">
        <v>0.22909090900000001</v>
      </c>
      <c r="S351" s="5">
        <v>11.971</v>
      </c>
      <c r="T351" s="5">
        <v>0.42799999999999999</v>
      </c>
    </row>
    <row r="352" spans="1:21" x14ac:dyDescent="0.25">
      <c r="A352" s="1" t="s">
        <v>173</v>
      </c>
      <c r="B352" s="1">
        <v>39.57</v>
      </c>
      <c r="C352" s="1">
        <v>111.39</v>
      </c>
      <c r="D352" s="1">
        <v>7.1</v>
      </c>
      <c r="E352" s="1">
        <v>365</v>
      </c>
      <c r="F352" s="1">
        <f>9.8*0.58</f>
        <v>5.6840000000000002</v>
      </c>
      <c r="G352" s="1">
        <v>0.8</v>
      </c>
      <c r="J352" s="2" t="s">
        <v>174</v>
      </c>
      <c r="K352" s="1">
        <v>2018</v>
      </c>
      <c r="L352" s="2" t="s">
        <v>175</v>
      </c>
      <c r="M352" s="2" t="s">
        <v>5</v>
      </c>
      <c r="N352" s="2" t="s">
        <v>209</v>
      </c>
      <c r="O352" s="2">
        <v>3</v>
      </c>
      <c r="P352" s="2">
        <v>180</v>
      </c>
      <c r="Q352" s="4">
        <v>0.64336363600000002</v>
      </c>
      <c r="R352" s="4">
        <v>0.14154</v>
      </c>
      <c r="U352" s="6" t="s">
        <v>217</v>
      </c>
    </row>
    <row r="353" spans="6:18" x14ac:dyDescent="0.25">
      <c r="L353" s="2" t="s">
        <v>176</v>
      </c>
      <c r="M353" s="2" t="s">
        <v>5</v>
      </c>
      <c r="N353" s="2" t="s">
        <v>214</v>
      </c>
      <c r="O353" s="2">
        <v>3</v>
      </c>
      <c r="P353" s="2">
        <v>180</v>
      </c>
      <c r="Q353" s="4">
        <v>0.54281818199999998</v>
      </c>
      <c r="R353" s="4">
        <v>0.11942</v>
      </c>
    </row>
    <row r="354" spans="6:18" x14ac:dyDescent="0.25">
      <c r="L354" s="2" t="s">
        <v>177</v>
      </c>
      <c r="M354" s="2" t="s">
        <v>5</v>
      </c>
      <c r="N354" s="2" t="s">
        <v>214</v>
      </c>
      <c r="O354" s="2">
        <v>3</v>
      </c>
      <c r="P354" s="2">
        <v>180</v>
      </c>
      <c r="Q354" s="4">
        <v>0.596909091</v>
      </c>
      <c r="R354" s="4">
        <v>0.13131999999999999</v>
      </c>
    </row>
    <row r="355" spans="6:18" x14ac:dyDescent="0.25">
      <c r="L355" s="2" t="s">
        <v>178</v>
      </c>
      <c r="M355" s="2" t="s">
        <v>5</v>
      </c>
      <c r="N355" s="2" t="s">
        <v>209</v>
      </c>
      <c r="O355" s="2">
        <v>3</v>
      </c>
      <c r="P355" s="2">
        <v>180</v>
      </c>
      <c r="Q355" s="4">
        <v>0.67072727300000001</v>
      </c>
      <c r="R355" s="4">
        <v>0.14756</v>
      </c>
    </row>
    <row r="356" spans="6:18" x14ac:dyDescent="0.25">
      <c r="L356" s="2" t="s">
        <v>179</v>
      </c>
      <c r="M356" s="2" t="s">
        <v>5</v>
      </c>
      <c r="N356" s="2" t="s">
        <v>214</v>
      </c>
      <c r="O356" s="2">
        <v>3</v>
      </c>
      <c r="P356" s="2">
        <v>180</v>
      </c>
      <c r="Q356" s="4">
        <v>0.57527272699999998</v>
      </c>
      <c r="R356" s="4">
        <v>0.12656000000000001</v>
      </c>
    </row>
    <row r="357" spans="6:18" x14ac:dyDescent="0.25">
      <c r="L357" s="2" t="s">
        <v>180</v>
      </c>
      <c r="M357" s="2" t="s">
        <v>5</v>
      </c>
      <c r="N357" s="2" t="s">
        <v>214</v>
      </c>
      <c r="O357" s="2">
        <v>3</v>
      </c>
      <c r="P357" s="2">
        <v>180</v>
      </c>
      <c r="Q357" s="4">
        <v>0.62630909099999998</v>
      </c>
      <c r="R357" s="4">
        <v>0.13778799999999999</v>
      </c>
    </row>
    <row r="358" spans="6:18" x14ac:dyDescent="0.25">
      <c r="F358" s="1">
        <f>4.9*0.58</f>
        <v>2.8420000000000001</v>
      </c>
      <c r="G358" s="1">
        <v>0.4</v>
      </c>
      <c r="J358" s="2" t="s">
        <v>174</v>
      </c>
      <c r="K358" s="1">
        <v>2019</v>
      </c>
      <c r="L358" s="2" t="s">
        <v>175</v>
      </c>
      <c r="M358" s="2" t="s">
        <v>5</v>
      </c>
      <c r="N358" s="2" t="s">
        <v>209</v>
      </c>
      <c r="O358" s="2">
        <v>3</v>
      </c>
      <c r="P358" s="2">
        <v>180</v>
      </c>
      <c r="Q358" s="4">
        <v>0.68173636400000004</v>
      </c>
      <c r="R358" s="4">
        <v>0.149982</v>
      </c>
    </row>
    <row r="359" spans="6:18" x14ac:dyDescent="0.25">
      <c r="L359" s="2" t="s">
        <v>176</v>
      </c>
      <c r="M359" s="2" t="s">
        <v>5</v>
      </c>
      <c r="N359" s="2" t="s">
        <v>214</v>
      </c>
      <c r="O359" s="2">
        <v>3</v>
      </c>
      <c r="P359" s="2">
        <v>180</v>
      </c>
      <c r="Q359" s="4">
        <v>0.59945454499999995</v>
      </c>
      <c r="R359" s="4">
        <v>0.13188</v>
      </c>
    </row>
    <row r="360" spans="6:18" x14ac:dyDescent="0.25">
      <c r="L360" s="2" t="s">
        <v>177</v>
      </c>
      <c r="M360" s="2" t="s">
        <v>5</v>
      </c>
      <c r="N360" s="2" t="s">
        <v>214</v>
      </c>
      <c r="O360" s="2">
        <v>3</v>
      </c>
      <c r="P360" s="2">
        <v>180</v>
      </c>
      <c r="Q360" s="4">
        <v>0.64654545500000005</v>
      </c>
      <c r="R360" s="4">
        <v>0.14224000000000001</v>
      </c>
    </row>
    <row r="361" spans="6:18" x14ac:dyDescent="0.25">
      <c r="L361" s="2" t="s">
        <v>178</v>
      </c>
      <c r="M361" s="2" t="s">
        <v>5</v>
      </c>
      <c r="N361" s="2" t="s">
        <v>209</v>
      </c>
      <c r="O361" s="2">
        <v>3</v>
      </c>
      <c r="P361" s="2">
        <v>180</v>
      </c>
      <c r="Q361" s="4">
        <v>0.73118181800000004</v>
      </c>
      <c r="R361" s="4">
        <v>0.16086</v>
      </c>
    </row>
    <row r="362" spans="6:18" x14ac:dyDescent="0.25">
      <c r="L362" s="2" t="s">
        <v>179</v>
      </c>
      <c r="M362" s="2" t="s">
        <v>5</v>
      </c>
      <c r="N362" s="2" t="s">
        <v>214</v>
      </c>
      <c r="O362" s="2">
        <v>3</v>
      </c>
      <c r="P362" s="2">
        <v>180</v>
      </c>
      <c r="Q362" s="4">
        <v>0.62618181799999995</v>
      </c>
      <c r="R362" s="4">
        <v>0.13775999999999999</v>
      </c>
    </row>
    <row r="363" spans="6:18" x14ac:dyDescent="0.25">
      <c r="L363" s="2" t="s">
        <v>180</v>
      </c>
      <c r="M363" s="2" t="s">
        <v>5</v>
      </c>
      <c r="N363" s="2" t="s">
        <v>214</v>
      </c>
      <c r="O363" s="2">
        <v>3</v>
      </c>
      <c r="P363" s="2">
        <v>180</v>
      </c>
      <c r="Q363" s="4">
        <v>0.69809090900000004</v>
      </c>
      <c r="R363" s="4">
        <v>0.15357999999999999</v>
      </c>
    </row>
    <row r="364" spans="6:18" x14ac:dyDescent="0.25">
      <c r="F364" s="1">
        <f>6.6*0.58</f>
        <v>3.8279999999999994</v>
      </c>
      <c r="G364" s="1">
        <v>0.5</v>
      </c>
      <c r="J364" s="2" t="s">
        <v>174</v>
      </c>
      <c r="K364" s="1">
        <v>2020</v>
      </c>
      <c r="L364" s="2" t="s">
        <v>175</v>
      </c>
      <c r="M364" s="2" t="s">
        <v>5</v>
      </c>
      <c r="N364" s="2" t="s">
        <v>209</v>
      </c>
      <c r="O364" s="2">
        <v>3</v>
      </c>
      <c r="P364" s="2">
        <v>180</v>
      </c>
      <c r="Q364" s="4">
        <v>0.64718181799999996</v>
      </c>
      <c r="R364" s="4">
        <v>0.14238000000000001</v>
      </c>
    </row>
    <row r="365" spans="6:18" x14ac:dyDescent="0.25">
      <c r="L365" s="2" t="s">
        <v>176</v>
      </c>
      <c r="M365" s="2" t="s">
        <v>5</v>
      </c>
      <c r="N365" s="2" t="s">
        <v>214</v>
      </c>
      <c r="O365" s="2">
        <v>3</v>
      </c>
      <c r="P365" s="2">
        <v>180</v>
      </c>
      <c r="Q365" s="4">
        <v>0.55968181800000005</v>
      </c>
      <c r="R365" s="4">
        <v>0.12313</v>
      </c>
    </row>
    <row r="366" spans="6:18" x14ac:dyDescent="0.25">
      <c r="L366" s="2" t="s">
        <v>177</v>
      </c>
      <c r="M366" s="2" t="s">
        <v>5</v>
      </c>
      <c r="N366" s="2" t="s">
        <v>214</v>
      </c>
      <c r="O366" s="2">
        <v>3</v>
      </c>
      <c r="P366" s="2">
        <v>180</v>
      </c>
      <c r="Q366" s="4">
        <v>0.61243636400000001</v>
      </c>
      <c r="R366" s="4">
        <v>0.13473599999999999</v>
      </c>
    </row>
    <row r="367" spans="6:18" x14ac:dyDescent="0.25">
      <c r="L367" s="2" t="s">
        <v>178</v>
      </c>
      <c r="M367" s="2" t="s">
        <v>5</v>
      </c>
      <c r="N367" s="2" t="s">
        <v>209</v>
      </c>
      <c r="O367" s="2">
        <v>3</v>
      </c>
      <c r="P367" s="2">
        <v>180</v>
      </c>
      <c r="Q367" s="4">
        <v>0.69109090900000003</v>
      </c>
      <c r="R367" s="4">
        <v>0.15204000000000001</v>
      </c>
    </row>
    <row r="368" spans="6:18" x14ac:dyDescent="0.25">
      <c r="L368" s="2" t="s">
        <v>179</v>
      </c>
      <c r="M368" s="2" t="s">
        <v>5</v>
      </c>
      <c r="N368" s="2" t="s">
        <v>214</v>
      </c>
      <c r="O368" s="2">
        <v>3</v>
      </c>
      <c r="P368" s="2">
        <v>180</v>
      </c>
      <c r="Q368" s="4">
        <v>0.59181818200000003</v>
      </c>
      <c r="R368" s="4">
        <v>0.13020000000000001</v>
      </c>
    </row>
    <row r="369" spans="12:18" x14ac:dyDescent="0.25">
      <c r="L369" s="2" t="s">
        <v>180</v>
      </c>
      <c r="M369" s="2" t="s">
        <v>5</v>
      </c>
      <c r="N369" s="2" t="s">
        <v>214</v>
      </c>
      <c r="O369" s="2">
        <v>3</v>
      </c>
      <c r="P369" s="2">
        <v>180</v>
      </c>
      <c r="Q369" s="4">
        <v>0.64400000000000002</v>
      </c>
      <c r="R369" s="4">
        <v>0.14168</v>
      </c>
    </row>
  </sheetData>
  <phoneticPr fontId="1" type="noConversion"/>
  <hyperlinks>
    <hyperlink ref="U352" r:id="rId1" display="https://doi.org/10.1038/S41598-022-25845-4" xr:uid="{F7407CA3-1C1C-4B81-A54C-4F6D164D7F04}"/>
    <hyperlink ref="U303" r:id="rId2" display="https://doi.org/10.1016/j.scitotenv.2021.150035" xr:uid="{D144DFDD-9AB2-471C-8952-3C7F6D2CDF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Jiangxin GU</dc:creator>
  <cp:lastModifiedBy>Jiangxin GU</cp:lastModifiedBy>
  <dcterms:created xsi:type="dcterms:W3CDTF">2025-11-17T03:48:52Z</dcterms:created>
  <dcterms:modified xsi:type="dcterms:W3CDTF">2026-01-12T02:39:24Z</dcterms:modified>
</cp:coreProperties>
</file>